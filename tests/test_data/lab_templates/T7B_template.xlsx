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7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10" defaultColWidth="8.83203125" defaultRowHeight="15"/>
  <cols>
    <col width="8" customWidth="1" min="1" max="1"/>
    <col width="13.33203125" customWidth="1" min="2" max="2"/>
    <col width="11.83203125" customWidth="1" min="3" max="3"/>
    <col width="20.33203125" customWidth="1" min="4" max="4"/>
    <col width="15.6640625" customWidth="1" min="5" max="5"/>
    <col width="11.33203125" customWidth="1" min="6" max="6"/>
    <col width="11" customWidth="1" min="7" max="7"/>
    <col width="11" customWidth="1" min="8" max="8"/>
    <col width="23.5" customWidth="1" min="9" max="9"/>
  </cols>
  <sheetData>
    <row r="1">
      <c r="A1" t="inlineStr">
        <is>
          <t>slide ID</t>
        </is>
      </c>
      <c r="B1" t="inlineStr">
        <is>
          <t>SAMPLING DATE</t>
        </is>
      </c>
      <c r="C1" t="inlineStr">
        <is>
          <t xml:space="preserve">POLONY DATE </t>
        </is>
      </c>
      <c r="D1" t="inlineStr">
        <is>
          <t>CONCENTRATION FACTOR</t>
        </is>
      </c>
      <c r="E1" t="inlineStr">
        <is>
          <t>SAMPLE VOLUM[ul]</t>
        </is>
      </c>
      <c r="F1" t="inlineStr">
        <is>
          <t>field [Pixel^2]</t>
        </is>
      </c>
      <c r="G1" t="inlineStr">
        <is>
          <t>grid [Pixel^2]</t>
        </is>
      </c>
      <c r="H1" t="inlineStr">
        <is>
          <t>QC</t>
        </is>
      </c>
      <c r="I1" t="inlineStr">
        <is>
          <t>FAGE ABUNDENCE [fage mL-1]</t>
        </is>
      </c>
      <c r="J1" t="inlineStr">
        <is>
          <t>field 1</t>
        </is>
      </c>
      <c r="K1" t="inlineStr">
        <is>
          <t>field 2</t>
        </is>
      </c>
      <c r="L1" t="inlineStr">
        <is>
          <t>field 3</t>
        </is>
      </c>
      <c r="M1" t="inlineStr">
        <is>
          <t>field 4</t>
        </is>
      </c>
      <c r="N1" t="inlineStr">
        <is>
          <t>field 5</t>
        </is>
      </c>
      <c r="O1" t="inlineStr">
        <is>
          <t>field 6</t>
        </is>
      </c>
      <c r="P1" t="inlineStr">
        <is>
          <t>field 7</t>
        </is>
      </c>
      <c r="Q1" t="inlineStr">
        <is>
          <t>field 8</t>
        </is>
      </c>
      <c r="R1" t="inlineStr">
        <is>
          <t>field 9</t>
        </is>
      </c>
      <c r="S1" t="inlineStr">
        <is>
          <t>field 10</t>
        </is>
      </c>
      <c r="T1" t="inlineStr">
        <is>
          <t>field 11</t>
        </is>
      </c>
      <c r="U1" t="inlineStr">
        <is>
          <t>field 12</t>
        </is>
      </c>
      <c r="V1" t="inlineStr">
        <is>
          <t>field 13</t>
        </is>
      </c>
      <c r="W1" t="inlineStr">
        <is>
          <t>field 14</t>
        </is>
      </c>
      <c r="X1" t="inlineStr">
        <is>
          <t>field 15</t>
        </is>
      </c>
      <c r="Y1" t="inlineStr">
        <is>
          <t>field 16</t>
        </is>
      </c>
      <c r="Z1" t="inlineStr">
        <is>
          <t>field 17</t>
        </is>
      </c>
      <c r="AA1" t="inlineStr">
        <is>
          <t>field 18</t>
        </is>
      </c>
      <c r="AB1" t="inlineStr">
        <is>
          <t>field 19</t>
        </is>
      </c>
      <c r="AC1" t="inlineStr">
        <is>
          <t>field 20</t>
        </is>
      </c>
      <c r="AD1" t="inlineStr">
        <is>
          <t>field 21</t>
        </is>
      </c>
      <c r="AE1" t="inlineStr">
        <is>
          <t>field 22</t>
        </is>
      </c>
      <c r="AF1" t="inlineStr">
        <is>
          <t>field 23</t>
        </is>
      </c>
      <c r="AG1" t="inlineStr">
        <is>
          <t>field 24</t>
        </is>
      </c>
    </row>
    <row r="2">
      <c r="A2" t="inlineStr">
        <is>
          <t>S01_A</t>
        </is>
      </c>
      <c r="B2" s="1" t="n">
        <v>46084</v>
      </c>
      <c r="C2" s="1" t="n">
        <v>46098</v>
      </c>
      <c r="D2" t="n">
        <v>1</v>
      </c>
      <c r="E2" t="n">
        <v>2.5</v>
      </c>
      <c r="F2" t="n">
        <v>2.9</v>
      </c>
      <c r="G2" t="n">
        <v>0.1</v>
      </c>
      <c r="H2" t="n">
        <v>1</v>
      </c>
      <c r="I2">
        <f>AVERAGE(J2:AG2)*(F2/G2)/E2*1000</f>
        <v>244888.88888888885</v>
      </c>
      <c r="J2" t="n">
        <v>25</v>
      </c>
      <c r="K2" t="n">
        <v>28</v>
      </c>
      <c r="L2" t="n">
        <v>28</v>
      </c>
      <c r="M2" t="n">
        <v>27</v>
      </c>
      <c r="N2" t="n">
        <v>17</v>
      </c>
      <c r="O2" t="n">
        <v>20</v>
      </c>
      <c r="P2" t="n">
        <v>13</v>
      </c>
      <c r="Q2" t="n">
        <v>25</v>
      </c>
      <c r="R2" t="n">
        <v>27</v>
      </c>
      <c r="S2" t="n">
        <v>15</v>
      </c>
      <c r="T2" t="n">
        <v>20</v>
      </c>
      <c r="U2" t="n">
        <v>12</v>
      </c>
      <c r="V2" t="n">
        <v>28</v>
      </c>
      <c r="W2" t="n">
        <v>16</v>
      </c>
      <c r="X2" t="n">
        <v>18</v>
      </c>
      <c r="Y2" t="n">
        <v>22</v>
      </c>
      <c r="Z2" t="n">
        <v>20</v>
      </c>
      <c r="AA2" t="n">
        <v>19</v>
      </c>
    </row>
    <row r="3">
      <c r="A3" t="inlineStr">
        <is>
          <t>S01_B</t>
        </is>
      </c>
      <c r="B3" s="1" t="n">
        <v>46084</v>
      </c>
      <c r="C3" s="1" t="n">
        <v>46098</v>
      </c>
      <c r="D3" t="n">
        <v>1</v>
      </c>
      <c r="E3" t="n">
        <v>2.5</v>
      </c>
      <c r="F3" t="n">
        <v>2.9</v>
      </c>
      <c r="G3" t="n">
        <v>0.1</v>
      </c>
      <c r="H3" t="n">
        <v>1</v>
      </c>
      <c r="I3">
        <f>AVERAGE(J3:AG3)*(F3/G3)/E3*1000</f>
        <v>242917.64705882352</v>
      </c>
      <c r="J3" t="n">
        <v>20</v>
      </c>
      <c r="K3" t="n">
        <v>21</v>
      </c>
      <c r="L3" t="n">
        <v>25</v>
      </c>
      <c r="M3" t="n">
        <v>13</v>
      </c>
      <c r="N3" t="n">
        <v>14</v>
      </c>
      <c r="O3" t="n">
        <v>28</v>
      </c>
      <c r="P3" t="n">
        <v>26</v>
      </c>
      <c r="Q3" t="n">
        <v>17</v>
      </c>
      <c r="R3" t="n">
        <v>14</v>
      </c>
      <c r="S3" t="n">
        <v>26</v>
      </c>
      <c r="T3" t="n">
        <v>19</v>
      </c>
      <c r="U3" t="n">
        <v>21</v>
      </c>
      <c r="V3" t="n">
        <v>28</v>
      </c>
      <c r="W3" t="n">
        <v>26</v>
      </c>
      <c r="X3" t="n">
        <v>22</v>
      </c>
      <c r="Y3" t="n">
        <v>17</v>
      </c>
      <c r="Z3" t="n">
        <v>19</v>
      </c>
    </row>
    <row r="4">
      <c r="A4" t="inlineStr">
        <is>
          <t>S02_A</t>
        </is>
      </c>
      <c r="B4" s="1" t="n">
        <v>46084</v>
      </c>
      <c r="C4" s="1" t="n">
        <v>46098</v>
      </c>
      <c r="D4" t="n">
        <v>1</v>
      </c>
      <c r="E4" t="n">
        <v>2.5</v>
      </c>
      <c r="F4" t="n">
        <v>2.9</v>
      </c>
      <c r="G4" t="n">
        <v>0.1</v>
      </c>
      <c r="H4" t="n">
        <v>1</v>
      </c>
      <c r="I4">
        <f>AVERAGE(J4:AG4)*(F4/G4)/E4*1000</f>
        <v>368173.9130434782</v>
      </c>
      <c r="J4" t="n">
        <v>27</v>
      </c>
      <c r="K4" t="n">
        <v>25</v>
      </c>
      <c r="L4" t="n">
        <v>34</v>
      </c>
      <c r="M4" t="n">
        <v>26</v>
      </c>
      <c r="N4" t="n">
        <v>36</v>
      </c>
      <c r="O4" t="n">
        <v>39</v>
      </c>
      <c r="P4" t="n">
        <v>28</v>
      </c>
      <c r="Q4" t="n">
        <v>30</v>
      </c>
      <c r="R4" t="n">
        <v>27</v>
      </c>
      <c r="S4" t="n">
        <v>40</v>
      </c>
      <c r="T4" t="n">
        <v>25</v>
      </c>
      <c r="U4" t="n">
        <v>34</v>
      </c>
      <c r="V4" t="n">
        <v>37</v>
      </c>
      <c r="W4" t="n">
        <v>27</v>
      </c>
      <c r="X4" t="n">
        <v>25</v>
      </c>
      <c r="Y4" t="n">
        <v>39</v>
      </c>
      <c r="Z4" t="n">
        <v>37</v>
      </c>
      <c r="AA4" t="n">
        <v>35</v>
      </c>
      <c r="AB4" t="n">
        <v>30</v>
      </c>
      <c r="AC4" t="n">
        <v>37</v>
      </c>
      <c r="AD4" t="n">
        <v>28</v>
      </c>
      <c r="AE4" t="n">
        <v>38</v>
      </c>
      <c r="AF4" t="n">
        <v>26</v>
      </c>
    </row>
    <row r="5">
      <c r="A5" t="inlineStr">
        <is>
          <t>S02_B</t>
        </is>
      </c>
      <c r="B5" s="1" t="n">
        <v>46084</v>
      </c>
      <c r="C5" s="1" t="n">
        <v>46098</v>
      </c>
      <c r="D5" t="n">
        <v>1</v>
      </c>
      <c r="E5" t="n">
        <v>2.5</v>
      </c>
      <c r="F5" t="n">
        <v>2.9</v>
      </c>
      <c r="G5" t="n">
        <v>0.1</v>
      </c>
      <c r="H5" t="n">
        <v>1</v>
      </c>
      <c r="I5">
        <f>AVERAGE(J5:AG5)*(F5/G5)/E5*1000</f>
        <v>343650</v>
      </c>
      <c r="J5" t="n">
        <v>29</v>
      </c>
      <c r="K5" t="n">
        <v>24</v>
      </c>
      <c r="L5" t="n">
        <v>24</v>
      </c>
      <c r="M5" t="n">
        <v>26</v>
      </c>
      <c r="N5" t="n">
        <v>31</v>
      </c>
      <c r="O5" t="n">
        <v>25</v>
      </c>
      <c r="P5" t="n">
        <v>40</v>
      </c>
      <c r="Q5" t="n">
        <v>38</v>
      </c>
    </row>
    <row r="6">
      <c r="A6" t="inlineStr">
        <is>
          <t>S03_A</t>
        </is>
      </c>
      <c r="B6" s="1" t="n">
        <v>46084</v>
      </c>
      <c r="C6" s="1" t="n">
        <v>46098</v>
      </c>
      <c r="D6" t="n">
        <v>1</v>
      </c>
      <c r="E6" t="n">
        <v>2.5</v>
      </c>
      <c r="F6" t="n">
        <v>2.9</v>
      </c>
      <c r="G6" t="n">
        <v>0.1</v>
      </c>
      <c r="H6" t="n">
        <v>1</v>
      </c>
      <c r="I6">
        <f>AVERAGE(J6:AG6)*(F6/G6)/E6*1000</f>
        <v>134849.99999999997</v>
      </c>
      <c r="J6" t="n">
        <v>19</v>
      </c>
      <c r="K6" t="n">
        <v>0</v>
      </c>
      <c r="L6" t="n">
        <v>12</v>
      </c>
      <c r="M6" t="n">
        <v>5</v>
      </c>
      <c r="N6" t="n">
        <v>14</v>
      </c>
      <c r="O6" t="n">
        <v>5</v>
      </c>
      <c r="P6" t="n">
        <v>10</v>
      </c>
      <c r="Q6" t="n">
        <v>17</v>
      </c>
      <c r="R6" t="n">
        <v>7</v>
      </c>
      <c r="S6" t="n">
        <v>13</v>
      </c>
      <c r="T6" t="n">
        <v>14</v>
      </c>
      <c r="U6" t="n">
        <v>15</v>
      </c>
      <c r="V6" t="n">
        <v>8</v>
      </c>
      <c r="W6" t="n">
        <v>18</v>
      </c>
      <c r="X6" t="n">
        <v>15</v>
      </c>
      <c r="Y6" t="n">
        <v>14</v>
      </c>
    </row>
    <row r="7">
      <c r="A7" t="inlineStr">
        <is>
          <t>S03_B</t>
        </is>
      </c>
      <c r="B7" s="1" t="n">
        <v>46084</v>
      </c>
      <c r="C7" s="1" t="n">
        <v>46098</v>
      </c>
      <c r="D7" t="n">
        <v>1</v>
      </c>
      <c r="E7" t="n">
        <v>2.5</v>
      </c>
      <c r="F7" t="n">
        <v>2.9</v>
      </c>
      <c r="G7" t="n">
        <v>0.1</v>
      </c>
      <c r="H7" t="n">
        <v>1</v>
      </c>
      <c r="I7">
        <f>AVERAGE(J7:AG7)*(F7/G7)/E7*1000</f>
        <v>139200</v>
      </c>
      <c r="J7" t="n">
        <v>10</v>
      </c>
      <c r="K7" t="n">
        <v>7</v>
      </c>
      <c r="L7" t="n">
        <v>7</v>
      </c>
      <c r="M7" t="n">
        <v>15</v>
      </c>
      <c r="N7" t="n">
        <v>12</v>
      </c>
      <c r="O7" t="n">
        <v>13</v>
      </c>
      <c r="P7" t="n">
        <v>6</v>
      </c>
      <c r="Q7" t="n">
        <v>10</v>
      </c>
      <c r="R7" t="n">
        <v>10</v>
      </c>
      <c r="S7" t="n">
        <v>17</v>
      </c>
      <c r="T7" t="n">
        <v>12</v>
      </c>
      <c r="U7" t="n">
        <v>18</v>
      </c>
      <c r="V7" t="n">
        <v>13</v>
      </c>
      <c r="W7" t="n">
        <v>18</v>
      </c>
    </row>
    <row r="8">
      <c r="A8" t="inlineStr">
        <is>
          <t>S04_A</t>
        </is>
      </c>
      <c r="B8" s="1" t="n">
        <v>46084</v>
      </c>
      <c r="C8" s="1" t="n">
        <v>46098</v>
      </c>
      <c r="D8" t="n">
        <v>1</v>
      </c>
      <c r="E8" t="n">
        <v>2.5</v>
      </c>
      <c r="F8" t="n">
        <v>2.9</v>
      </c>
      <c r="G8" t="n">
        <v>0.1</v>
      </c>
      <c r="H8" t="n">
        <v>0</v>
      </c>
      <c r="I8">
        <f>AVERAGE(J8:AG8)*(F8/G8)/E8*1000</f>
        <v>262933.33333333326</v>
      </c>
      <c r="J8" t="n">
        <v>19</v>
      </c>
      <c r="K8" t="n">
        <v>31</v>
      </c>
      <c r="L8" t="n">
        <v>16</v>
      </c>
      <c r="M8" t="n">
        <v>21</v>
      </c>
      <c r="N8" t="n">
        <v>20</v>
      </c>
      <c r="O8" t="n">
        <v>29</v>
      </c>
    </row>
    <row r="9">
      <c r="A9" t="inlineStr">
        <is>
          <t>S04_B</t>
        </is>
      </c>
      <c r="B9" s="1" t="n">
        <v>46084</v>
      </c>
      <c r="C9" s="1" t="n">
        <v>46098</v>
      </c>
      <c r="D9" t="n">
        <v>1</v>
      </c>
      <c r="E9" t="n">
        <v>2.5</v>
      </c>
      <c r="F9" t="n">
        <v>2.9</v>
      </c>
      <c r="G9" t="n">
        <v>0.1</v>
      </c>
      <c r="H9" t="n">
        <v>0</v>
      </c>
      <c r="I9">
        <f>AVERAGE(J9:AG9)*(F9/G9)/E9*1000</f>
        <v>248916.6666666666</v>
      </c>
      <c r="J9" t="n">
        <v>15</v>
      </c>
      <c r="K9" t="n">
        <v>17</v>
      </c>
      <c r="L9" t="n">
        <v>16</v>
      </c>
      <c r="M9" t="n">
        <v>25</v>
      </c>
      <c r="N9" t="n">
        <v>19</v>
      </c>
      <c r="O9" t="n">
        <v>16</v>
      </c>
      <c r="P9" t="n">
        <v>25</v>
      </c>
      <c r="Q9" t="n">
        <v>26</v>
      </c>
      <c r="R9" t="n">
        <v>22</v>
      </c>
      <c r="S9" t="n">
        <v>18</v>
      </c>
      <c r="T9" t="n">
        <v>22</v>
      </c>
      <c r="U9" t="n">
        <v>21</v>
      </c>
      <c r="V9" t="n">
        <v>28</v>
      </c>
      <c r="W9" t="n">
        <v>25</v>
      </c>
      <c r="X9" t="n">
        <v>23</v>
      </c>
      <c r="Y9" t="n">
        <v>19</v>
      </c>
      <c r="Z9" t="n">
        <v>31</v>
      </c>
      <c r="AA9" t="n">
        <v>27</v>
      </c>
      <c r="AB9" t="n">
        <v>15</v>
      </c>
      <c r="AC9" t="n">
        <v>19</v>
      </c>
      <c r="AD9" t="n">
        <v>30</v>
      </c>
      <c r="AE9" t="n">
        <v>23</v>
      </c>
      <c r="AF9" t="n">
        <v>18</v>
      </c>
      <c r="AG9" t="n">
        <v>15</v>
      </c>
    </row>
    <row r="10">
      <c r="A10" t="inlineStr">
        <is>
          <t>S05_A</t>
        </is>
      </c>
      <c r="B10" s="1" t="n">
        <v>46084</v>
      </c>
      <c r="C10" s="1" t="n">
        <v>46098</v>
      </c>
      <c r="D10" t="n">
        <v>1</v>
      </c>
      <c r="E10" t="n">
        <v>2.5</v>
      </c>
      <c r="F10" t="n">
        <v>2.9</v>
      </c>
      <c r="G10" t="n">
        <v>0.1</v>
      </c>
      <c r="H10" t="n">
        <v>1</v>
      </c>
      <c r="I10">
        <f>AVERAGE(J10:AG10)*(F10/G10)/E10*1000</f>
        <v>209854.5454545454</v>
      </c>
      <c r="J10" t="n">
        <v>23</v>
      </c>
      <c r="K10" t="n">
        <v>17</v>
      </c>
      <c r="L10" t="n">
        <v>13</v>
      </c>
      <c r="M10" t="n">
        <v>17</v>
      </c>
      <c r="N10" t="n">
        <v>14</v>
      </c>
      <c r="O10" t="n">
        <v>23</v>
      </c>
      <c r="P10" t="n">
        <v>21</v>
      </c>
      <c r="Q10" t="n">
        <v>24</v>
      </c>
      <c r="R10" t="n">
        <v>21</v>
      </c>
      <c r="S10" t="n">
        <v>13</v>
      </c>
      <c r="T10" t="n">
        <v>13</v>
      </c>
    </row>
    <row r="11">
      <c r="A11" t="inlineStr">
        <is>
          <t>S05_B</t>
        </is>
      </c>
      <c r="B11" s="1" t="n">
        <v>46084</v>
      </c>
      <c r="C11" s="1" t="n">
        <v>46098</v>
      </c>
      <c r="D11" t="n">
        <v>1</v>
      </c>
      <c r="E11" t="n">
        <v>2.5</v>
      </c>
      <c r="F11" t="n">
        <v>2.9</v>
      </c>
      <c r="G11" t="n">
        <v>0.1</v>
      </c>
      <c r="H11" t="n">
        <v>1</v>
      </c>
      <c r="I11">
        <f>AVERAGE(J11:AG11)*(F11/G11)/E11*1000</f>
        <v>230711.11111111107</v>
      </c>
      <c r="J11" t="n">
        <v>15</v>
      </c>
      <c r="K11" t="n">
        <v>26</v>
      </c>
      <c r="L11" t="n">
        <v>25</v>
      </c>
      <c r="M11" t="n">
        <v>24</v>
      </c>
      <c r="N11" t="n">
        <v>17</v>
      </c>
      <c r="O11" t="n">
        <v>22</v>
      </c>
      <c r="P11" t="n">
        <v>14</v>
      </c>
      <c r="Q11" t="n">
        <v>20</v>
      </c>
      <c r="R11" t="n">
        <v>16</v>
      </c>
    </row>
    <row r="12">
      <c r="A12" t="inlineStr">
        <is>
          <t>S06_A</t>
        </is>
      </c>
      <c r="B12" s="1" t="n">
        <v>46084</v>
      </c>
      <c r="C12" s="1" t="n">
        <v>46098</v>
      </c>
      <c r="D12" t="n">
        <v>1</v>
      </c>
      <c r="E12" t="n">
        <v>2.5</v>
      </c>
      <c r="F12" t="n">
        <v>2.9</v>
      </c>
      <c r="G12" t="n">
        <v>0.1</v>
      </c>
      <c r="H12" t="n">
        <v>1</v>
      </c>
      <c r="I12">
        <f>AVERAGE(J12:AG12)*(F12/G12)/E12*1000</f>
        <v>400199.99999999994</v>
      </c>
      <c r="J12" t="n">
        <v>35</v>
      </c>
      <c r="K12" t="n">
        <v>33</v>
      </c>
      <c r="L12" t="n">
        <v>38</v>
      </c>
      <c r="M12" t="n">
        <v>42</v>
      </c>
      <c r="N12" t="n">
        <v>27</v>
      </c>
      <c r="O12" t="n">
        <v>37</v>
      </c>
      <c r="P12" t="n">
        <v>33</v>
      </c>
      <c r="Q12" t="n">
        <v>28</v>
      </c>
      <c r="R12" t="n">
        <v>37</v>
      </c>
      <c r="S12" t="n">
        <v>38</v>
      </c>
      <c r="T12" t="n">
        <v>42</v>
      </c>
      <c r="U12" t="n">
        <v>30</v>
      </c>
      <c r="V12" t="n">
        <v>34</v>
      </c>
      <c r="W12" t="n">
        <v>30</v>
      </c>
      <c r="X12" t="n">
        <v>33</v>
      </c>
      <c r="Y12" t="n">
        <v>33</v>
      </c>
      <c r="Z12" t="n">
        <v>42</v>
      </c>
      <c r="AA12" t="n">
        <v>39</v>
      </c>
      <c r="AB12" t="n">
        <v>31</v>
      </c>
      <c r="AC12" t="n">
        <v>28</v>
      </c>
    </row>
    <row r="13">
      <c r="A13" t="inlineStr">
        <is>
          <t>S06_B</t>
        </is>
      </c>
      <c r="B13" s="1" t="n">
        <v>46084</v>
      </c>
      <c r="C13" s="1" t="n">
        <v>46098</v>
      </c>
      <c r="D13" t="n">
        <v>1</v>
      </c>
      <c r="E13" t="n">
        <v>2.5</v>
      </c>
      <c r="F13" t="n">
        <v>2.9</v>
      </c>
      <c r="G13" t="n">
        <v>0.1</v>
      </c>
      <c r="H13" t="n">
        <v>1</v>
      </c>
      <c r="I13">
        <f>AVERAGE(J13:AG13)*(F13/G13)/E13*1000</f>
        <v>380479.9999999999</v>
      </c>
      <c r="J13" t="n">
        <v>36</v>
      </c>
      <c r="K13" t="n">
        <v>29</v>
      </c>
      <c r="L13" t="n">
        <v>30</v>
      </c>
      <c r="M13" t="n">
        <v>35</v>
      </c>
      <c r="N13" t="n">
        <v>35</v>
      </c>
      <c r="O13" t="n">
        <v>37</v>
      </c>
      <c r="P13" t="n">
        <v>39</v>
      </c>
      <c r="Q13" t="n">
        <v>29</v>
      </c>
      <c r="R13" t="n">
        <v>28</v>
      </c>
      <c r="S13" t="n">
        <v>30</v>
      </c>
    </row>
    <row r="14">
      <c r="A14" t="inlineStr">
        <is>
          <t>S07_A</t>
        </is>
      </c>
      <c r="B14" s="1" t="n">
        <v>46084</v>
      </c>
      <c r="C14" s="1" t="n">
        <v>46098</v>
      </c>
      <c r="D14" t="n">
        <v>1</v>
      </c>
      <c r="E14" t="n">
        <v>2.5</v>
      </c>
      <c r="F14" t="n">
        <v>2.9</v>
      </c>
      <c r="G14" t="n">
        <v>0.1</v>
      </c>
      <c r="H14" t="n">
        <v>1</v>
      </c>
      <c r="I14">
        <f>AVERAGE(J14:AG14)*(F14/G14)/E14*1000</f>
        <v>392742.8571428571</v>
      </c>
      <c r="J14" t="n">
        <v>33</v>
      </c>
      <c r="K14" t="n">
        <v>27</v>
      </c>
      <c r="L14" t="n">
        <v>28</v>
      </c>
      <c r="M14" t="n">
        <v>36</v>
      </c>
      <c r="N14" t="n">
        <v>30</v>
      </c>
      <c r="O14" t="n">
        <v>32</v>
      </c>
      <c r="P14" t="n">
        <v>32</v>
      </c>
      <c r="Q14" t="n">
        <v>40</v>
      </c>
      <c r="R14" t="n">
        <v>37</v>
      </c>
      <c r="S14" t="n">
        <v>32</v>
      </c>
      <c r="T14" t="n">
        <v>35</v>
      </c>
      <c r="U14" t="n">
        <v>38</v>
      </c>
      <c r="V14" t="n">
        <v>39</v>
      </c>
      <c r="W14" t="n">
        <v>35</v>
      </c>
    </row>
    <row r="15">
      <c r="A15" t="inlineStr">
        <is>
          <t>S07_B</t>
        </is>
      </c>
      <c r="B15" s="1" t="n">
        <v>46084</v>
      </c>
      <c r="C15" s="1" t="n">
        <v>46098</v>
      </c>
      <c r="D15" t="n">
        <v>1</v>
      </c>
      <c r="E15" t="n">
        <v>2.5</v>
      </c>
      <c r="F15" t="n">
        <v>2.9</v>
      </c>
      <c r="G15" t="n">
        <v>0.1</v>
      </c>
      <c r="H15" t="n">
        <v>1</v>
      </c>
      <c r="I15">
        <f>AVERAGE(J15:AG15)*(F15/G15)/E15*1000</f>
        <v>386114.2857142856</v>
      </c>
      <c r="J15" t="n">
        <v>26</v>
      </c>
      <c r="K15" t="n">
        <v>26</v>
      </c>
      <c r="L15" t="n">
        <v>34</v>
      </c>
      <c r="M15" t="n">
        <v>33</v>
      </c>
      <c r="O15" t="n">
        <v>31</v>
      </c>
      <c r="P15" t="n">
        <v>30</v>
      </c>
      <c r="Q15" t="n">
        <v>33</v>
      </c>
      <c r="R15" t="n">
        <v>27</v>
      </c>
      <c r="S15" t="n">
        <v>36</v>
      </c>
      <c r="T15" t="n">
        <v>36</v>
      </c>
      <c r="U15" t="n">
        <v>28</v>
      </c>
      <c r="V15" t="n">
        <v>41</v>
      </c>
      <c r="W15" t="n">
        <v>41</v>
      </c>
      <c r="X15" t="n">
        <v>38</v>
      </c>
      <c r="Y15" t="n">
        <v>35</v>
      </c>
      <c r="Z15" t="n">
        <v>35</v>
      </c>
      <c r="AA15" t="n">
        <v>33</v>
      </c>
      <c r="AB15" t="n">
        <v>30</v>
      </c>
      <c r="AC15" t="n">
        <v>38</v>
      </c>
      <c r="AD15" t="n">
        <v>27</v>
      </c>
      <c r="AE15" t="n">
        <v>41</v>
      </c>
    </row>
    <row r="16">
      <c r="A16" t="inlineStr">
        <is>
          <t>S08_A</t>
        </is>
      </c>
      <c r="B16" s="1" t="n">
        <v>46084</v>
      </c>
      <c r="C16" s="1" t="n">
        <v>46098</v>
      </c>
      <c r="D16" t="n">
        <v>1</v>
      </c>
      <c r="E16" t="n">
        <v>2.5</v>
      </c>
      <c r="F16" t="n">
        <v>2.9</v>
      </c>
      <c r="G16" t="n">
        <v>0.1</v>
      </c>
      <c r="H16" t="n">
        <v>1</v>
      </c>
      <c r="I16">
        <f>AVERAGE(J16:AG16)*(F16/G16)/E16*1000</f>
        <v>297249.99999999994</v>
      </c>
      <c r="J16" t="n">
        <v>19</v>
      </c>
      <c r="K16" t="n">
        <v>32</v>
      </c>
      <c r="L16" t="n">
        <v>31</v>
      </c>
      <c r="M16" t="n">
        <v>33</v>
      </c>
      <c r="N16" t="n">
        <v>32</v>
      </c>
      <c r="O16" t="n">
        <v>24</v>
      </c>
      <c r="P16" t="n">
        <v>20</v>
      </c>
      <c r="Q16" t="n">
        <v>20</v>
      </c>
      <c r="R16" t="n">
        <v>26</v>
      </c>
      <c r="S16" t="n">
        <v>27</v>
      </c>
      <c r="T16" t="n">
        <v>21</v>
      </c>
      <c r="U16" t="n">
        <v>31</v>
      </c>
      <c r="V16" t="n">
        <v>22</v>
      </c>
      <c r="W16" t="n">
        <v>30</v>
      </c>
      <c r="X16" t="n">
        <v>22</v>
      </c>
      <c r="Y16" t="n">
        <v>20</v>
      </c>
    </row>
    <row r="17">
      <c r="A17" t="inlineStr">
        <is>
          <t>S08_B</t>
        </is>
      </c>
      <c r="B17" s="1" t="n">
        <v>46084</v>
      </c>
      <c r="C17" s="1" t="n">
        <v>46098</v>
      </c>
      <c r="D17" t="n">
        <v>1</v>
      </c>
      <c r="E17" t="n">
        <v>2.5</v>
      </c>
      <c r="F17" t="n">
        <v>2.9</v>
      </c>
      <c r="G17" t="n">
        <v>0.1</v>
      </c>
      <c r="H17" t="n">
        <v>1</v>
      </c>
      <c r="I17">
        <f>AVERAGE(J17:AG17)*(F17/G17)/E17*1000</f>
        <v>307400</v>
      </c>
      <c r="J17" t="n">
        <v>33</v>
      </c>
      <c r="K17" t="n">
        <v>18</v>
      </c>
      <c r="L17" t="n">
        <v>19</v>
      </c>
      <c r="M17" t="n">
        <v>33</v>
      </c>
      <c r="N17" t="n">
        <v>31</v>
      </c>
      <c r="O17" t="n">
        <v>18</v>
      </c>
      <c r="P17" t="n">
        <v>32</v>
      </c>
      <c r="Q17" t="n">
        <v>28</v>
      </c>
    </row>
    <row r="18">
      <c r="A18" t="inlineStr">
        <is>
          <t>S09_A</t>
        </is>
      </c>
      <c r="B18" s="1" t="n">
        <v>46084</v>
      </c>
      <c r="C18" s="1" t="n">
        <v>46098</v>
      </c>
      <c r="D18" t="n">
        <v>1</v>
      </c>
      <c r="E18" t="n">
        <v>2.5</v>
      </c>
      <c r="F18" t="n">
        <v>2.9</v>
      </c>
      <c r="G18" t="n">
        <v>0.1</v>
      </c>
      <c r="H18" t="n">
        <v>1</v>
      </c>
      <c r="I18">
        <f>AVERAGE(J18:AG18)*(F18/G18)/E18*1000</f>
        <v>188693.3333333333</v>
      </c>
      <c r="J18" t="n">
        <v>9</v>
      </c>
      <c r="K18" t="n">
        <v>24</v>
      </c>
      <c r="L18" t="n">
        <v>22</v>
      </c>
      <c r="M18" t="n">
        <v>12</v>
      </c>
      <c r="N18" t="n">
        <v>15</v>
      </c>
      <c r="O18" t="n">
        <v>10</v>
      </c>
      <c r="P18" t="n">
        <v>14</v>
      </c>
      <c r="Q18" t="n">
        <v>16</v>
      </c>
      <c r="R18" t="n">
        <v>23</v>
      </c>
      <c r="S18" t="n">
        <v>23</v>
      </c>
      <c r="T18" t="n">
        <v>20</v>
      </c>
      <c r="U18" t="n">
        <v>14</v>
      </c>
      <c r="V18" t="n">
        <v>10</v>
      </c>
      <c r="W18" t="n">
        <v>24</v>
      </c>
      <c r="X18" t="n">
        <v>8</v>
      </c>
    </row>
    <row r="19">
      <c r="A19" t="inlineStr">
        <is>
          <t>S09_B</t>
        </is>
      </c>
      <c r="B19" s="1" t="n">
        <v>46084</v>
      </c>
      <c r="C19" s="1" t="n">
        <v>46098</v>
      </c>
      <c r="D19" t="n">
        <v>1</v>
      </c>
      <c r="E19" t="n">
        <v>2.5</v>
      </c>
      <c r="F19" t="n">
        <v>2.9</v>
      </c>
      <c r="G19" t="n">
        <v>0.1</v>
      </c>
      <c r="H19" t="n">
        <v>1</v>
      </c>
      <c r="I19">
        <f>AVERAGE(J19:AG19)*(F19/G19)/E19*1000</f>
        <v>186704.7619047619</v>
      </c>
      <c r="J19" t="n">
        <v>14</v>
      </c>
      <c r="K19" t="n">
        <v>15</v>
      </c>
      <c r="L19" t="n">
        <v>18</v>
      </c>
      <c r="M19" t="n">
        <v>15</v>
      </c>
      <c r="N19" t="n">
        <v>8</v>
      </c>
      <c r="O19" t="n">
        <v>20</v>
      </c>
      <c r="P19" t="n">
        <v>15</v>
      </c>
      <c r="Q19" t="n">
        <v>24</v>
      </c>
      <c r="R19" t="n">
        <v>15</v>
      </c>
      <c r="S19" t="n">
        <v>11</v>
      </c>
      <c r="T19" t="n">
        <v>24</v>
      </c>
      <c r="U19" t="n">
        <v>12</v>
      </c>
      <c r="V19" t="n">
        <v>13</v>
      </c>
      <c r="W19" t="n">
        <v>22</v>
      </c>
      <c r="X19" t="n">
        <v>12</v>
      </c>
      <c r="Y19" t="n">
        <v>21</v>
      </c>
      <c r="Z19" t="n">
        <v>24</v>
      </c>
      <c r="AA19" t="n">
        <v>9</v>
      </c>
      <c r="AB19" t="n">
        <v>16</v>
      </c>
      <c r="AC19" t="n">
        <v>22</v>
      </c>
      <c r="AD19" t="n">
        <v>8</v>
      </c>
    </row>
    <row r="20">
      <c r="A20" t="inlineStr">
        <is>
          <t>S10_A</t>
        </is>
      </c>
      <c r="B20" s="1" t="n">
        <v>46084</v>
      </c>
      <c r="C20" s="1" t="n">
        <v>46098</v>
      </c>
      <c r="D20" t="n">
        <v>1</v>
      </c>
      <c r="E20" t="n">
        <v>2.5</v>
      </c>
      <c r="F20" t="n">
        <v>2.9</v>
      </c>
      <c r="G20" t="n">
        <v>0.1</v>
      </c>
      <c r="H20" t="n">
        <v>1</v>
      </c>
      <c r="I20">
        <f>AVERAGE(J20:AG20)*(F20/G20)/E20*1000</f>
        <v>192738.46153846153</v>
      </c>
      <c r="J20" t="n">
        <v>16</v>
      </c>
      <c r="K20" t="n">
        <v>23</v>
      </c>
      <c r="L20" t="n">
        <v>11</v>
      </c>
      <c r="M20" t="n">
        <v>25</v>
      </c>
      <c r="N20" t="n">
        <v>13</v>
      </c>
      <c r="O20" t="n">
        <v>14</v>
      </c>
      <c r="P20" t="n">
        <v>23</v>
      </c>
      <c r="Q20" t="n">
        <v>10</v>
      </c>
      <c r="R20" t="n">
        <v>20</v>
      </c>
      <c r="S20" t="n">
        <v>12</v>
      </c>
      <c r="T20" t="n">
        <v>9</v>
      </c>
      <c r="U20" t="n">
        <v>20</v>
      </c>
      <c r="V20" t="n">
        <v>20</v>
      </c>
    </row>
    <row r="21">
      <c r="A21" t="inlineStr">
        <is>
          <t>S10_B</t>
        </is>
      </c>
      <c r="B21" s="1" t="n">
        <v>46084</v>
      </c>
      <c r="C21" s="1" t="n">
        <v>46098</v>
      </c>
      <c r="D21" t="n">
        <v>1</v>
      </c>
      <c r="E21" t="n">
        <v>2.5</v>
      </c>
      <c r="F21" t="n">
        <v>2.9</v>
      </c>
      <c r="G21" t="n">
        <v>0.1</v>
      </c>
      <c r="H21" t="n">
        <v>1</v>
      </c>
      <c r="I21">
        <f>AVERAGE(J21:AG21)*(F21/G21)/E21*1000</f>
        <v>216533.3333333333</v>
      </c>
      <c r="J21" t="n">
        <v>21</v>
      </c>
      <c r="K21" t="n">
        <v>11</v>
      </c>
      <c r="L21" t="n">
        <v>25</v>
      </c>
      <c r="M21" t="n">
        <v>20</v>
      </c>
      <c r="N21" t="n">
        <v>21</v>
      </c>
      <c r="O21" t="n">
        <v>16</v>
      </c>
      <c r="P21" t="n">
        <v>21</v>
      </c>
      <c r="Q21" t="n">
        <v>23</v>
      </c>
      <c r="R21" t="n">
        <v>14</v>
      </c>
      <c r="S21" t="n">
        <v>10</v>
      </c>
      <c r="T21" t="n">
        <v>14</v>
      </c>
      <c r="U21" t="n">
        <v>16</v>
      </c>
      <c r="V21" t="n">
        <v>24</v>
      </c>
      <c r="W21" t="n">
        <v>25</v>
      </c>
      <c r="X21" t="n">
        <v>19</v>
      </c>
    </row>
    <row r="22">
      <c r="A22" t="inlineStr">
        <is>
          <t>S11_A</t>
        </is>
      </c>
      <c r="B22" s="1" t="n">
        <v>46084</v>
      </c>
      <c r="C22" s="1" t="n">
        <v>46098</v>
      </c>
      <c r="D22" t="n">
        <v>1</v>
      </c>
      <c r="E22" t="n">
        <v>2.5</v>
      </c>
      <c r="F22" t="n">
        <v>2.9</v>
      </c>
      <c r="G22" t="n">
        <v>0.1</v>
      </c>
      <c r="H22" t="n">
        <v>1</v>
      </c>
      <c r="I22">
        <f>AVERAGE(J22:AG22)*(F22/G22)/E22*1000</f>
        <v>134366.66666666666</v>
      </c>
      <c r="J22" t="n">
        <v>18</v>
      </c>
      <c r="K22" t="n">
        <v>13</v>
      </c>
      <c r="L22" t="n">
        <v>16</v>
      </c>
      <c r="M22" t="n">
        <v>18</v>
      </c>
      <c r="N22" t="n">
        <v>4</v>
      </c>
      <c r="O22" t="n">
        <v>19</v>
      </c>
      <c r="P22" t="n">
        <v>6</v>
      </c>
      <c r="Q22" t="n">
        <v>14</v>
      </c>
      <c r="R22" t="n">
        <v>7</v>
      </c>
      <c r="S22" t="n">
        <v>16</v>
      </c>
      <c r="T22" t="n">
        <v>8</v>
      </c>
      <c r="U22" t="n">
        <v>14</v>
      </c>
      <c r="V22" t="n">
        <v>6</v>
      </c>
      <c r="W22" t="n">
        <v>9</v>
      </c>
      <c r="X22" t="n">
        <v>7</v>
      </c>
      <c r="Y22" t="n">
        <v>5</v>
      </c>
      <c r="Z22" t="n">
        <v>14</v>
      </c>
      <c r="AA22" t="n">
        <v>6</v>
      </c>
      <c r="AB22" t="n">
        <v>19</v>
      </c>
      <c r="AC22" t="n">
        <v>14</v>
      </c>
      <c r="AD22" t="n">
        <v>16</v>
      </c>
      <c r="AE22" t="n">
        <v>14</v>
      </c>
      <c r="AF22" t="n">
        <v>5</v>
      </c>
      <c r="AG22" t="n">
        <v>10</v>
      </c>
    </row>
    <row r="23">
      <c r="A23" t="inlineStr">
        <is>
          <t>S11_B</t>
        </is>
      </c>
      <c r="B23" s="1" t="n">
        <v>46084</v>
      </c>
      <c r="C23" s="1" t="n">
        <v>46098</v>
      </c>
      <c r="D23" t="n">
        <v>1</v>
      </c>
      <c r="E23" t="n">
        <v>2.5</v>
      </c>
      <c r="F23" t="n">
        <v>2.9</v>
      </c>
      <c r="G23" t="n">
        <v>0.1</v>
      </c>
      <c r="H23" t="n">
        <v>1</v>
      </c>
      <c r="I23">
        <f>AVERAGE(J23:AG23)*(F23/G23)/E23*1000</f>
        <v>124216.66666666666</v>
      </c>
      <c r="J23" t="n">
        <v>6</v>
      </c>
      <c r="K23" t="n">
        <v>7</v>
      </c>
      <c r="L23" t="n">
        <v>6</v>
      </c>
      <c r="M23" t="n">
        <v>7</v>
      </c>
      <c r="N23" t="n">
        <v>9</v>
      </c>
      <c r="O23" t="n">
        <v>4</v>
      </c>
      <c r="P23" t="n">
        <v>10</v>
      </c>
      <c r="Q23" t="n">
        <v>8</v>
      </c>
      <c r="R23" t="n">
        <v>13</v>
      </c>
      <c r="S23" t="n">
        <v>17</v>
      </c>
      <c r="T23" t="n">
        <v>5</v>
      </c>
      <c r="U23" t="n">
        <v>13</v>
      </c>
      <c r="V23" t="n">
        <v>11</v>
      </c>
      <c r="W23" t="n">
        <v>17</v>
      </c>
      <c r="X23" t="n">
        <v>9</v>
      </c>
      <c r="Y23" t="n">
        <v>15</v>
      </c>
      <c r="Z23" t="n">
        <v>11</v>
      </c>
      <c r="AA23" t="n">
        <v>4</v>
      </c>
      <c r="AB23" t="n">
        <v>11</v>
      </c>
      <c r="AC23" t="n">
        <v>15</v>
      </c>
      <c r="AD23" t="n">
        <v>18</v>
      </c>
      <c r="AE23" t="n">
        <v>6</v>
      </c>
      <c r="AF23" t="n">
        <v>15</v>
      </c>
      <c r="AG23" t="n">
        <v>20</v>
      </c>
    </row>
    <row r="24">
      <c r="A24" t="inlineStr">
        <is>
          <t>S12_A</t>
        </is>
      </c>
      <c r="B24" s="1" t="n">
        <v>46084</v>
      </c>
      <c r="C24" s="1" t="n">
        <v>46098</v>
      </c>
      <c r="D24" t="n">
        <v>1</v>
      </c>
      <c r="E24" t="n">
        <v>2.5</v>
      </c>
      <c r="F24" t="n">
        <v>2.9</v>
      </c>
      <c r="G24" t="n">
        <v>0.1</v>
      </c>
      <c r="H24" t="n">
        <v>1</v>
      </c>
      <c r="I24">
        <f>AVERAGE(J24:AG24)*(F24/G24)/E24*1000</f>
        <v>364755.5555555555</v>
      </c>
      <c r="J24" t="n">
        <v>30</v>
      </c>
      <c r="K24" t="n">
        <v>34</v>
      </c>
      <c r="L24" t="n">
        <v>35</v>
      </c>
      <c r="M24" t="n">
        <v>38</v>
      </c>
      <c r="N24" t="n">
        <v>26</v>
      </c>
      <c r="O24" t="n">
        <v>28</v>
      </c>
      <c r="P24" t="n">
        <v>37</v>
      </c>
      <c r="Q24" t="n">
        <v>28</v>
      </c>
      <c r="R24" t="n">
        <v>39</v>
      </c>
      <c r="S24" t="n">
        <v>34</v>
      </c>
      <c r="T24" t="n">
        <v>24</v>
      </c>
      <c r="U24" t="n">
        <v>28</v>
      </c>
      <c r="V24" t="n">
        <v>26</v>
      </c>
      <c r="W24" t="n">
        <v>31</v>
      </c>
      <c r="X24" t="n">
        <v>36</v>
      </c>
      <c r="Y24" t="n">
        <v>37</v>
      </c>
      <c r="Z24" t="n">
        <v>25</v>
      </c>
      <c r="AA24" t="n">
        <v>30</v>
      </c>
    </row>
    <row r="25">
      <c r="A25" t="inlineStr">
        <is>
          <t>S12_B</t>
        </is>
      </c>
      <c r="B25" s="1" t="n">
        <v>46084</v>
      </c>
      <c r="C25" s="1" t="n">
        <v>46098</v>
      </c>
      <c r="D25" t="n">
        <v>1</v>
      </c>
      <c r="E25" t="n">
        <v>2.5</v>
      </c>
      <c r="F25" t="n">
        <v>2.9</v>
      </c>
      <c r="G25" t="n">
        <v>0.1</v>
      </c>
      <c r="H25" t="n">
        <v>1</v>
      </c>
      <c r="I25">
        <f>AVERAGE(J25:AG25)*(F25/G25)/E25*1000</f>
        <v>345557.8947368421</v>
      </c>
      <c r="J25" t="n">
        <v>35</v>
      </c>
      <c r="K25" t="n">
        <v>24</v>
      </c>
      <c r="L25" t="n">
        <v>32</v>
      </c>
      <c r="M25" t="n">
        <v>30</v>
      </c>
      <c r="N25" t="n">
        <v>40</v>
      </c>
      <c r="O25" t="n">
        <v>25</v>
      </c>
      <c r="P25" t="n">
        <v>27</v>
      </c>
      <c r="Q25" t="n">
        <v>26</v>
      </c>
      <c r="R25" t="n">
        <v>26</v>
      </c>
      <c r="S25" t="n">
        <v>35</v>
      </c>
      <c r="T25" t="n">
        <v>39</v>
      </c>
      <c r="U25" t="n">
        <v>26</v>
      </c>
      <c r="V25" t="n">
        <v>27</v>
      </c>
      <c r="W25" t="n">
        <v>25</v>
      </c>
      <c r="X25" t="n">
        <v>28</v>
      </c>
      <c r="Y25" t="n">
        <v>24</v>
      </c>
      <c r="Z25" t="n">
        <v>29</v>
      </c>
      <c r="AA25" t="n">
        <v>35</v>
      </c>
      <c r="AB2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lab-format template (test data)</dc:title>
  <dc:creator>Polony Review test data</dc:creator>
  <cp:lastModifiedBy>Polony Review test data</cp:lastModifiedBy>
  <dcterms:created xsi:type="dcterms:W3CDTF">2026-03-18T12:00:00Z</dcterms:created>
  <dcterms:modified xsi:type="dcterms:W3CDTF">2026-03-18T12:00:00Z</dcterms:modified>
</cp:coreProperties>
</file>