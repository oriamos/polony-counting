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8352C031-7EC7-644A-8F39-F4E2D3962AA8}" xr6:coauthVersionLast="47" xr6:coauthVersionMax="47" xr10:uidLastSave="{00000000-0000-0000-0000-000000000000}"/>
  <bookViews>
    <workbookView xWindow="31820" yWindow="1160" windowWidth="30240" windowHeight="18980" xr2:uid="{00000000-000D-0000-FFFF-FFFF00000000}"/>
  </bookViews>
  <sheets>
    <sheet name="T7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<sst xmlns="http://schemas.openxmlformats.org/spreadsheetml/2006/main" count="57" uniqueCount="57">
  <si>
    <t>slide ID</t>
  </si>
  <si>
    <t>SAMPLING DATE</t>
  </si>
  <si>
    <t xml:space="preserve">POLONY DATE </t>
  </si>
  <si>
    <t>CONCENTRATION FACTOR</t>
  </si>
  <si>
    <t>SAMPLE VOLUM[ul]</t>
  </si>
  <si>
    <t>field [Pixel^2]</t>
  </si>
  <si>
    <t>grid [Pixel^2]</t>
  </si>
  <si>
    <t>FAGE ABUNDENCE [fage mL-1]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</si>
  <si>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</si>
  <si>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</si>
  <si>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</si>
  <si>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</si>
  <si>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</si>
  <si>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</si>
  <si>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</si>
  <si>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</si>
  <si>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</si>
  <si>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10</t>
  </si>
  <si>
    <t>field 11</t>
  </si>
  <si>
    <t>field 12</t>
  </si>
  <si>
    <t>field 13</t>
  </si>
  <si>
    <t>field 14</t>
  </si>
  <si>
    <t>field 15</t>
  </si>
  <si>
    <t>field 16</t>
  </si>
  <si>
    <t>field 17</t>
  </si>
  <si>
    <t>field 18</t>
  </si>
  <si>
    <t>field 19</t>
  </si>
  <si>
    <t>field 20</t>
  </si>
  <si>
    <t>field 21</t>
  </si>
  <si>
    <t>field 22</t>
  </si>
  <si>
    <t>field 23</t>
  </si>
  <si>
    <t>field 24</t>
  </si>
  <si>
    <t>QC</t>
  </si>
  <si>
    <t>AI_A</t>
  </si>
  <si>
    <t>AI_B</t>
  </si>
  <si>
    <t>AS_A</t>
  </si>
  <si>
    <t>AS_B</t>
  </si>
  <si>
    <t>AM_A</t>
  </si>
  <si>
    <t>AM_B</t>
  </si>
  <si>
    <t>PI_A</t>
  </si>
  <si>
    <t>PI_B</t>
  </si>
  <si>
    <t>PS_A</t>
  </si>
  <si>
    <t>PS_B</t>
  </si>
  <si>
    <t>PM_A</t>
  </si>
  <si>
    <t>PM_B</t>
  </si>
  <si>
    <t>HI_A</t>
  </si>
  <si>
    <t>HI_B</t>
  </si>
  <si>
    <t>HS_A</t>
  </si>
  <si>
    <t>HS_B</t>
  </si>
  <si>
    <t>HM_A</t>
  </si>
  <si>
    <t>HM_B</t>
  </si>
  <si>
    <t>QI_A</t>
  </si>
  <si>
    <t>QI_B</t>
  </si>
  <si>
    <t>QS_A</t>
  </si>
  <si>
    <t>QS_B</t>
  </si>
  <si>
    <t>QM_A</t>
  </si>
  <si>
    <t>QM_B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</si>
</sst>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selection activeCell="E36" sqref="E36"/>
    </sheetView>
  </sheetViews>
  <sheetFormatPr baseColWidth="10" defaultColWidth="8.83203125" defaultRowHeight="15" x14ac:dyDescent="0.2"/>
  <cols>
    <col min="1" max="1" width="8" bestFit="1" customWidth="1"/>
    <col min="2" max="2" width="13.33203125" bestFit="1" customWidth="1"/>
    <col min="3" max="3" width="11.83203125" bestFit="1" customWidth="1"/>
    <col min="4" max="4" width="20.33203125" bestFit="1" customWidth="1"/>
    <col min="5" max="5" width="15.6640625" bestFit="1" customWidth="1"/>
    <col min="6" max="6" width="11.33203125" bestFit="1" customWidth="1"/>
    <col min="7" max="7" width="11" bestFit="1" customWidth="1"/>
    <col min="8" max="8" width="11" customWidth="1"/>
    <col min="9" max="9" width="23.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ht="16" x14ac:dyDescent="0.2">
      <c r="A2" t="s">
        <v>33</v>
      </c>
      <c r="B2" s="1">
        <v>46280</v>
      </c>
      <c r="C2" s="1">
        <v>46294</v>
      </c>
      <c r="D2">
        <v>1</v>
      </c>
      <c r="E2">
        <v>2.5</v>
      </c>
      <c r="F2">
        <v>2.9</v>
      </c>
      <c r="G2">
        <v>0.1</v>
      </c>
      <c r="H2">
        <v>1</v>
      </c>
      <c r="I2">
        <f t="shared" ref="I2:I25" si="0">AVERAGE(J2:AG2)*(F2/G2)/E2*1000</f>
        <v>213955.55555555553</v>
      </c>
      <c r="J2">
        <v>13</v>
      </c>
      <c r="K2">
        <v>29</v>
      </c>
      <c r="L2">
        <v>15</v>
      </c>
      <c r="M2">
        <v>15</v>
      </c>
      <c r="N2">
        <v>16</v>
      </c>
      <c r="O2">
        <v>25</v>
      </c>
      <c r="P2">
        <v>23</v>
      </c>
      <c r="Q2">
        <v>15</v>
      </c>
      <c r="R2">
        <v>12</v>
      </c>
      <c r="S2">
        <v>15</v>
      </c>
      <c r="T2">
        <v>22</v>
      </c>
      <c r="U2">
        <v>16</v>
      </c>
      <c r="V2">
        <v>15</v>
      </c>
      <c r="W2">
        <v>22</v>
      </c>
      <c r="X2">
        <v>13</v>
      </c>
      <c r="Y2">
        <v>19</v>
      </c>
      <c r="Z2">
        <v>23</v>
      </c>
      <c r="AA2">
        <v>24</v>
      </c>
      <c r="AB2" s="2"/>
      <c r="AC2" s="2"/>
      <c r="AD2" s="2"/>
      <c r="AE2" s="2"/>
      <c r="AF2" s="2"/>
      <c r="AG2" s="2"/>
    </row>
    <row r="3" spans="1:33" ht="16" x14ac:dyDescent="0.2">
      <c r="A3" t="s">
        <v>34</v>
      </c>
      <c r="B3" s="1">
        <v>46280</v>
      </c>
      <c r="C3" s="1">
        <v>46294</v>
      </c>
      <c r="D3">
        <v>1</v>
      </c>
      <c r="E3">
        <v>2.5</v>
      </c>
      <c r="F3">
        <v>2.9</v>
      </c>
      <c r="G3">
        <v>0.1</v>
      </c>
      <c r="H3">
        <v>1</v>
      </c>
      <c r="I3">
        <f t="shared" si="0"/>
        <v>274305.8823529412</v>
      </c>
      <c r="J3">
        <v>31</v>
      </c>
      <c r="K3">
        <v>18</v>
      </c>
      <c r="L3">
        <v>29</v>
      </c>
      <c r="M3">
        <v>23</v>
      </c>
      <c r="N3">
        <v>18</v>
      </c>
      <c r="O3">
        <v>24</v>
      </c>
      <c r="P3">
        <v>19</v>
      </c>
      <c r="Q3">
        <v>26</v>
      </c>
      <c r="R3">
        <v>19</v>
      </c>
      <c r="S3">
        <v>23</v>
      </c>
      <c r="T3">
        <v>31</v>
      </c>
      <c r="U3">
        <v>15</v>
      </c>
      <c r="V3">
        <v>26</v>
      </c>
      <c r="W3">
        <v>26</v>
      </c>
      <c r="X3">
        <v>26</v>
      </c>
      <c r="Y3">
        <v>31</v>
      </c>
      <c r="Z3">
        <v>17</v>
      </c>
      <c r="AA3" s="2"/>
      <c r="AB3" s="2"/>
      <c r="AC3" s="2"/>
      <c r="AD3" s="2"/>
      <c r="AE3" s="2"/>
      <c r="AF3" s="2"/>
      <c r="AG3" s="2"/>
    </row>
    <row r="4" spans="1:33" ht="16" x14ac:dyDescent="0.2">
      <c r="A4" t="s">
        <v>35</v>
      </c>
      <c r="B4" s="1">
        <v>46280</v>
      </c>
      <c r="C4" s="1">
        <v>46294</v>
      </c>
      <c r="D4">
        <v>1</v>
      </c>
      <c r="E4">
        <v>2.5</v>
      </c>
      <c r="F4">
        <v>2.9</v>
      </c>
      <c r="G4">
        <v>0.1</v>
      </c>
      <c r="H4">
        <v>1</v>
      </c>
      <c r="I4">
        <f t="shared" si="0"/>
        <v>43236.363636363625</v>
      </c>
      <c r="J4">
        <v>2</v>
      </c>
      <c r="K4">
        <v>1</v>
      </c>
      <c r="L4">
        <v>3</v>
      </c>
      <c r="M4">
        <v>2</v>
      </c>
      <c r="N4">
        <v>9</v>
      </c>
      <c r="O4">
        <v>8</v>
      </c>
      <c r="P4">
        <v>1</v>
      </c>
      <c r="Q4">
        <v>0</v>
      </c>
      <c r="R4">
        <v>3</v>
      </c>
      <c r="S4">
        <v>3</v>
      </c>
      <c r="T4">
        <v>5</v>
      </c>
      <c r="U4">
        <v>5</v>
      </c>
      <c r="V4">
        <v>10</v>
      </c>
      <c r="W4">
        <v>3</v>
      </c>
      <c r="X4">
        <v>2</v>
      </c>
      <c r="Y4">
        <v>9</v>
      </c>
      <c r="Z4">
        <v>3</v>
      </c>
      <c r="AA4">
        <v>3</v>
      </c>
      <c r="AB4">
        <v>2</v>
      </c>
      <c r="AC4">
        <v>1</v>
      </c>
      <c r="AD4">
        <v>4</v>
      </c>
      <c r="AE4">
        <v>3</v>
      </c>
      <c r="AF4" s="2"/>
      <c r="AG4" s="2"/>
    </row>
    <row r="5" spans="1:33" ht="16" x14ac:dyDescent="0.2">
      <c r="A5" t="s">
        <v>36</v>
      </c>
      <c r="B5" s="1">
        <v>46280</v>
      </c>
      <c r="C5" s="1">
        <v>46294</v>
      </c>
      <c r="D5">
        <v>1</v>
      </c>
      <c r="E5">
        <v>2.5</v>
      </c>
      <c r="F5">
        <v>2.9</v>
      </c>
      <c r="G5">
        <v>0.1</v>
      </c>
      <c r="H5">
        <v>1</v>
      </c>
      <c r="I5">
        <f t="shared" si="0"/>
        <v>38666.666666666664</v>
      </c>
      <c r="J5">
        <v>5</v>
      </c>
      <c r="K5">
        <v>4</v>
      </c>
      <c r="L5">
        <v>4</v>
      </c>
      <c r="M5">
        <v>4</v>
      </c>
      <c r="N5">
        <v>4</v>
      </c>
      <c r="O5">
        <v>2</v>
      </c>
      <c r="P5">
        <v>5</v>
      </c>
      <c r="Q5">
        <v>5</v>
      </c>
      <c r="R5">
        <v>1</v>
      </c>
      <c r="S5">
        <v>3</v>
      </c>
      <c r="T5">
        <v>3</v>
      </c>
      <c r="U5">
        <v>2</v>
      </c>
      <c r="V5">
        <v>5</v>
      </c>
      <c r="W5">
        <v>3</v>
      </c>
      <c r="X5">
        <v>1</v>
      </c>
      <c r="Y5">
        <v>2</v>
      </c>
      <c r="Z5">
        <v>5</v>
      </c>
      <c r="AA5">
        <v>2</v>
      </c>
      <c r="AB5" s="2"/>
      <c r="AC5" s="2"/>
      <c r="AD5" s="2"/>
      <c r="AE5" s="2"/>
      <c r="AF5" s="2"/>
      <c r="AG5" s="2"/>
    </row>
    <row r="6" spans="1:33" ht="16" x14ac:dyDescent="0.2">
      <c r="A6" t="s">
        <v>37</v>
      </c>
      <c r="B6" s="1">
        <v>46280</v>
      </c>
      <c r="C6" s="1">
        <v>46294</v>
      </c>
      <c r="D6">
        <v>1</v>
      </c>
      <c r="E6">
        <v>2.5</v>
      </c>
      <c r="F6">
        <v>2.9</v>
      </c>
      <c r="G6">
        <v>0.1</v>
      </c>
      <c r="H6">
        <v>1</v>
      </c>
      <c r="I6">
        <f t="shared" si="0"/>
        <v>68235.294117647063</v>
      </c>
      <c r="J6">
        <v>6</v>
      </c>
      <c r="K6">
        <v>7</v>
      </c>
      <c r="L6">
        <v>6</v>
      </c>
      <c r="M6">
        <v>5</v>
      </c>
      <c r="N6">
        <v>2</v>
      </c>
      <c r="O6">
        <v>6</v>
      </c>
      <c r="P6">
        <v>3</v>
      </c>
      <c r="Q6">
        <v>7</v>
      </c>
      <c r="R6">
        <v>6</v>
      </c>
      <c r="S6">
        <v>5</v>
      </c>
      <c r="T6">
        <v>7</v>
      </c>
      <c r="U6">
        <v>4</v>
      </c>
      <c r="V6">
        <v>5</v>
      </c>
      <c r="W6">
        <v>8</v>
      </c>
      <c r="X6">
        <v>8</v>
      </c>
      <c r="Y6">
        <v>9</v>
      </c>
      <c r="Z6">
        <v>6</v>
      </c>
      <c r="AA6" s="2"/>
      <c r="AB6" s="2"/>
      <c r="AC6" s="2"/>
      <c r="AD6" s="2"/>
      <c r="AE6" s="2"/>
      <c r="AF6" s="2"/>
      <c r="AG6" s="2"/>
    </row>
    <row r="7" spans="1:33" ht="16" x14ac:dyDescent="0.2">
      <c r="A7" t="s">
        <v>38</v>
      </c>
      <c r="B7" s="1">
        <v>46280</v>
      </c>
      <c r="C7" s="1">
        <v>46294</v>
      </c>
      <c r="D7">
        <v>1</v>
      </c>
      <c r="E7">
        <v>2.5</v>
      </c>
      <c r="F7">
        <v>2.9</v>
      </c>
      <c r="G7">
        <v>0.1</v>
      </c>
      <c r="H7">
        <v>1</v>
      </c>
      <c r="I7">
        <f t="shared" si="0"/>
        <v>55790.476190476184</v>
      </c>
      <c r="J7">
        <v>6</v>
      </c>
      <c r="K7">
        <v>8</v>
      </c>
      <c r="L7">
        <v>6</v>
      </c>
      <c r="M7">
        <v>0</v>
      </c>
      <c r="N7">
        <v>6</v>
      </c>
      <c r="O7">
        <v>5</v>
      </c>
      <c r="P7">
        <v>2</v>
      </c>
      <c r="Q7">
        <v>8</v>
      </c>
      <c r="R7">
        <v>3</v>
      </c>
      <c r="S7">
        <v>5</v>
      </c>
      <c r="T7">
        <v>5</v>
      </c>
      <c r="U7">
        <v>1</v>
      </c>
      <c r="V7">
        <v>7</v>
      </c>
      <c r="W7">
        <v>2</v>
      </c>
      <c r="X7">
        <v>8</v>
      </c>
      <c r="Y7">
        <v>7</v>
      </c>
      <c r="Z7">
        <v>3</v>
      </c>
      <c r="AA7">
        <v>6</v>
      </c>
      <c r="AB7">
        <v>7</v>
      </c>
      <c r="AC7">
        <v>3</v>
      </c>
      <c r="AD7">
        <v>3</v>
      </c>
      <c r="AE7" s="2"/>
      <c r="AF7" s="2"/>
      <c r="AG7" s="2"/>
    </row>
    <row r="8" spans="1:33" ht="16" x14ac:dyDescent="0.2">
      <c r="A8" t="s">
        <v>39</v>
      </c>
      <c r="B8" s="1">
        <v>46280</v>
      </c>
      <c r="C8" s="1">
        <v>46294</v>
      </c>
      <c r="D8">
        <v>1</v>
      </c>
      <c r="E8">
        <v>2.5</v>
      </c>
      <c r="F8">
        <v>2.9</v>
      </c>
      <c r="G8">
        <v>0.1</v>
      </c>
      <c r="H8">
        <v>0</v>
      </c>
      <c r="I8">
        <f t="shared" si="0"/>
        <v>267766.66666666657</v>
      </c>
      <c r="J8">
        <v>21</v>
      </c>
      <c r="K8">
        <v>29</v>
      </c>
      <c r="L8">
        <v>24</v>
      </c>
      <c r="M8">
        <v>26</v>
      </c>
      <c r="N8">
        <v>19</v>
      </c>
      <c r="O8">
        <v>18</v>
      </c>
      <c r="P8">
        <v>31</v>
      </c>
      <c r="Q8">
        <v>21</v>
      </c>
      <c r="R8">
        <v>19</v>
      </c>
      <c r="S8">
        <v>32</v>
      </c>
      <c r="T8">
        <v>14</v>
      </c>
      <c r="U8">
        <v>23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6" x14ac:dyDescent="0.2">
      <c r="A9" t="s">
        <v>40</v>
      </c>
      <c r="B9" s="1">
        <v>46280</v>
      </c>
      <c r="C9" s="1">
        <v>46294</v>
      </c>
      <c r="D9">
        <v>1</v>
      </c>
      <c r="E9">
        <v>2.5</v>
      </c>
      <c r="F9">
        <v>2.9</v>
      </c>
      <c r="G9">
        <v>0.1</v>
      </c>
      <c r="H9">
        <v>0</v>
      </c>
      <c r="I9">
        <f t="shared" si="0"/>
        <v>198359.99999999997</v>
      </c>
      <c r="J9">
        <v>10</v>
      </c>
      <c r="K9">
        <v>19</v>
      </c>
      <c r="L9">
        <v>21</v>
      </c>
      <c r="M9">
        <v>21</v>
      </c>
      <c r="N9">
        <v>21</v>
      </c>
      <c r="O9">
        <v>16</v>
      </c>
      <c r="P9">
        <v>14</v>
      </c>
      <c r="Q9">
        <v>24</v>
      </c>
      <c r="R9">
        <v>12</v>
      </c>
      <c r="S9">
        <v>13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6" x14ac:dyDescent="0.2">
      <c r="A10" t="s">
        <v>41</v>
      </c>
      <c r="B10" s="1">
        <v>46280</v>
      </c>
      <c r="C10" s="1">
        <v>46294</v>
      </c>
      <c r="D10">
        <v>1</v>
      </c>
      <c r="E10">
        <v>2.5</v>
      </c>
      <c r="F10">
        <v>2.9</v>
      </c>
      <c r="G10">
        <v>0.1</v>
      </c>
      <c r="H10">
        <v>1</v>
      </c>
      <c r="I10">
        <f t="shared" si="0"/>
        <v>222333.33333333331</v>
      </c>
      <c r="J10">
        <v>21</v>
      </c>
      <c r="K10">
        <v>19</v>
      </c>
      <c r="L10">
        <v>22</v>
      </c>
      <c r="M10">
        <v>17</v>
      </c>
      <c r="N10">
        <v>17</v>
      </c>
      <c r="O10">
        <v>19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6" x14ac:dyDescent="0.2">
      <c r="A11" t="s">
        <v>42</v>
      </c>
      <c r="B11" s="1">
        <v>46280</v>
      </c>
      <c r="C11" s="1">
        <v>46294</v>
      </c>
      <c r="D11">
        <v>1</v>
      </c>
      <c r="E11">
        <v>2.5</v>
      </c>
      <c r="F11">
        <v>2.9</v>
      </c>
      <c r="G11">
        <v>0.1</v>
      </c>
      <c r="H11">
        <v>1</v>
      </c>
      <c r="I11">
        <f t="shared" si="0"/>
        <v>236639.99999999997</v>
      </c>
      <c r="J11">
        <v>19</v>
      </c>
      <c r="K11">
        <v>19</v>
      </c>
      <c r="L11">
        <v>17</v>
      </c>
      <c r="M11">
        <v>23</v>
      </c>
      <c r="N11">
        <v>23</v>
      </c>
      <c r="O11">
        <v>22</v>
      </c>
      <c r="P11">
        <v>25</v>
      </c>
      <c r="Q11">
        <v>18</v>
      </c>
      <c r="R11">
        <v>20</v>
      </c>
      <c r="S11">
        <v>18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6" x14ac:dyDescent="0.2">
      <c r="A12" t="s">
        <v>43</v>
      </c>
      <c r="B12" s="1">
        <v>46280</v>
      </c>
      <c r="C12" s="1">
        <v>46294</v>
      </c>
      <c r="D12">
        <v>1</v>
      </c>
      <c r="E12">
        <v>2.5</v>
      </c>
      <c r="F12">
        <v>2.9</v>
      </c>
      <c r="G12">
        <v>0.1</v>
      </c>
      <c r="H12">
        <v>1</v>
      </c>
      <c r="I12">
        <f t="shared" si="0"/>
        <v>220399.99999999994</v>
      </c>
      <c r="J12">
        <v>14</v>
      </c>
      <c r="K12">
        <v>18</v>
      </c>
      <c r="L12">
        <v>24</v>
      </c>
      <c r="M12">
        <v>17</v>
      </c>
      <c r="N12">
        <v>23</v>
      </c>
      <c r="O12">
        <v>18</v>
      </c>
      <c r="P12">
        <v>24</v>
      </c>
      <c r="Q12">
        <v>16</v>
      </c>
      <c r="R12">
        <v>17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6" x14ac:dyDescent="0.2">
      <c r="A13" t="s">
        <v>44</v>
      </c>
      <c r="B13" s="1">
        <v>46280</v>
      </c>
      <c r="C13" s="1">
        <v>46294</v>
      </c>
      <c r="D13">
        <v>1</v>
      </c>
      <c r="E13">
        <v>2.5</v>
      </c>
      <c r="F13">
        <v>2.9</v>
      </c>
      <c r="G13">
        <v>0.1</v>
      </c>
      <c r="H13">
        <v>1</v>
      </c>
      <c r="I13">
        <f t="shared" si="0"/>
        <v>204933.33333333331</v>
      </c>
      <c r="J13">
        <v>18</v>
      </c>
      <c r="K13">
        <v>29</v>
      </c>
      <c r="L13">
        <v>20</v>
      </c>
      <c r="M13">
        <v>20</v>
      </c>
      <c r="N13">
        <v>15</v>
      </c>
      <c r="O13">
        <v>13</v>
      </c>
      <c r="P13">
        <v>14</v>
      </c>
      <c r="Q13">
        <v>14</v>
      </c>
      <c r="R13">
        <v>16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6" x14ac:dyDescent="0.2">
      <c r="A14" t="s">
        <v>45</v>
      </c>
      <c r="B14" s="1">
        <v>46280</v>
      </c>
      <c r="C14" s="1">
        <v>46294</v>
      </c>
      <c r="D14">
        <v>1</v>
      </c>
      <c r="E14">
        <v>2.5</v>
      </c>
      <c r="F14">
        <v>2.9</v>
      </c>
      <c r="G14">
        <v>0.1</v>
      </c>
      <c r="H14">
        <v>1</v>
      </c>
      <c r="I14">
        <f t="shared" si="0"/>
        <v>321485.71428571426</v>
      </c>
      <c r="J14">
        <v>29</v>
      </c>
      <c r="K14">
        <v>34</v>
      </c>
      <c r="L14">
        <v>19</v>
      </c>
      <c r="M14">
        <v>27</v>
      </c>
      <c r="N14">
        <v>26</v>
      </c>
      <c r="O14">
        <v>24</v>
      </c>
      <c r="P14">
        <v>28</v>
      </c>
      <c r="Q14">
        <v>35</v>
      </c>
      <c r="R14">
        <v>29</v>
      </c>
      <c r="S14">
        <v>19</v>
      </c>
      <c r="T14">
        <v>34</v>
      </c>
      <c r="U14">
        <v>26</v>
      </c>
      <c r="V14">
        <v>37</v>
      </c>
      <c r="W14">
        <v>21</v>
      </c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6" x14ac:dyDescent="0.2">
      <c r="A15" t="s">
        <v>46</v>
      </c>
      <c r="B15" s="1">
        <v>46280</v>
      </c>
      <c r="C15" s="1">
        <v>46294</v>
      </c>
      <c r="D15">
        <v>1</v>
      </c>
      <c r="E15">
        <v>2.5</v>
      </c>
      <c r="F15">
        <v>2.9</v>
      </c>
      <c r="G15">
        <v>0.1</v>
      </c>
      <c r="H15">
        <v>1</v>
      </c>
      <c r="I15">
        <f t="shared" si="0"/>
        <v>263320</v>
      </c>
      <c r="J15">
        <v>20</v>
      </c>
      <c r="K15">
        <v>26</v>
      </c>
      <c r="L15">
        <v>25</v>
      </c>
      <c r="M15">
        <v>21</v>
      </c>
      <c r="N15">
        <v>21</v>
      </c>
      <c r="O15">
        <v>23</v>
      </c>
      <c r="P15">
        <v>27</v>
      </c>
      <c r="Q15">
        <v>23</v>
      </c>
      <c r="R15">
        <v>16</v>
      </c>
      <c r="S15">
        <v>25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">
      <c r="A16" t="s">
        <v>47</v>
      </c>
      <c r="B16" s="1">
        <v>46280</v>
      </c>
      <c r="C16" s="1">
        <v>46294</v>
      </c>
      <c r="D16">
        <v>1</v>
      </c>
      <c r="E16">
        <v>2.5</v>
      </c>
      <c r="F16">
        <v>2.9</v>
      </c>
      <c r="G16">
        <v>0.1</v>
      </c>
      <c r="H16">
        <v>1</v>
      </c>
      <c r="I16">
        <f t="shared" si="0"/>
        <v>244566.6666666666</v>
      </c>
      <c r="J16">
        <v>24</v>
      </c>
      <c r="K16">
        <v>21</v>
      </c>
      <c r="L16">
        <v>26</v>
      </c>
      <c r="M16">
        <v>13</v>
      </c>
      <c r="N16">
        <v>22</v>
      </c>
      <c r="O16">
        <v>21</v>
      </c>
      <c r="P16">
        <v>26</v>
      </c>
      <c r="Q16">
        <v>11</v>
      </c>
      <c r="R16">
        <v>22</v>
      </c>
      <c r="S16">
        <v>21</v>
      </c>
      <c r="T16">
        <v>16</v>
      </c>
      <c r="U16">
        <v>30</v>
      </c>
    </row>
    <row r="17" spans="1:33" x14ac:dyDescent="0.2">
      <c r="A17" t="s">
        <v>48</v>
      </c>
      <c r="B17" s="1">
        <v>46280</v>
      </c>
      <c r="C17" s="1">
        <v>46294</v>
      </c>
      <c r="D17">
        <v>1</v>
      </c>
      <c r="E17">
        <v>2.5</v>
      </c>
      <c r="F17">
        <v>2.9</v>
      </c>
      <c r="G17">
        <v>0.1</v>
      </c>
      <c r="H17">
        <v>1</v>
      </c>
      <c r="I17">
        <f t="shared" si="0"/>
        <v>197200</v>
      </c>
      <c r="J17">
        <v>14</v>
      </c>
      <c r="K17">
        <v>15</v>
      </c>
      <c r="L17">
        <v>14</v>
      </c>
      <c r="M17">
        <v>14</v>
      </c>
      <c r="N17">
        <v>17</v>
      </c>
      <c r="O17">
        <v>21</v>
      </c>
      <c r="P17">
        <v>18</v>
      </c>
      <c r="Q17">
        <v>19</v>
      </c>
      <c r="R17">
        <v>16</v>
      </c>
      <c r="S17">
        <v>22</v>
      </c>
    </row>
    <row r="18" spans="1:33" x14ac:dyDescent="0.2">
      <c r="A18" t="s">
        <v>49</v>
      </c>
      <c r="B18" s="1">
        <v>46280</v>
      </c>
      <c r="C18" s="1">
        <v>46294</v>
      </c>
      <c r="D18">
        <v>1</v>
      </c>
      <c r="E18">
        <v>2.5</v>
      </c>
      <c r="F18">
        <v>2.9</v>
      </c>
      <c r="G18">
        <v>0.1</v>
      </c>
      <c r="H18">
        <v>1</v>
      </c>
      <c r="I18">
        <f t="shared" si="0"/>
        <v>229514.28571428568</v>
      </c>
      <c r="J18">
        <v>15</v>
      </c>
      <c r="K18">
        <v>18</v>
      </c>
      <c r="L18">
        <v>21</v>
      </c>
      <c r="M18">
        <v>23</v>
      </c>
      <c r="N18">
        <v>14</v>
      </c>
      <c r="O18">
        <v>14</v>
      </c>
      <c r="P18">
        <v>23</v>
      </c>
      <c r="Q18">
        <v>17</v>
      </c>
      <c r="R18">
        <v>25</v>
      </c>
      <c r="S18">
        <v>20</v>
      </c>
      <c r="T18">
        <v>16</v>
      </c>
      <c r="U18">
        <v>28</v>
      </c>
      <c r="V18">
        <v>17</v>
      </c>
      <c r="W18">
        <v>26</v>
      </c>
    </row>
    <row r="19" spans="1:33" x14ac:dyDescent="0.2">
      <c r="A19" t="s">
        <v>50</v>
      </c>
      <c r="B19" s="1">
        <v>46280</v>
      </c>
      <c r="C19" s="1">
        <v>46294</v>
      </c>
      <c r="D19">
        <v>1</v>
      </c>
      <c r="E19">
        <v>2.5</v>
      </c>
      <c r="F19">
        <v>2.9</v>
      </c>
      <c r="G19">
        <v>0.1</v>
      </c>
      <c r="H19">
        <v>1</v>
      </c>
      <c r="I19">
        <f t="shared" si="0"/>
        <v>205230.76923076922</v>
      </c>
      <c r="J19">
        <v>14</v>
      </c>
      <c r="K19">
        <v>14</v>
      </c>
      <c r="L19">
        <v>24</v>
      </c>
      <c r="M19">
        <v>14</v>
      </c>
      <c r="N19">
        <v>14</v>
      </c>
      <c r="O19">
        <v>14</v>
      </c>
      <c r="P19">
        <v>19</v>
      </c>
      <c r="Q19">
        <v>25</v>
      </c>
      <c r="R19">
        <v>16</v>
      </c>
      <c r="S19">
        <v>19</v>
      </c>
      <c r="T19">
        <v>18</v>
      </c>
      <c r="U19">
        <v>24</v>
      </c>
      <c r="V19">
        <v>15</v>
      </c>
    </row>
    <row r="20" spans="1:33" x14ac:dyDescent="0.2">
      <c r="A20" t="s">
        <v>51</v>
      </c>
      <c r="B20" s="1">
        <v>46280</v>
      </c>
      <c r="C20" s="1">
        <v>46294</v>
      </c>
      <c r="D20">
        <v>1</v>
      </c>
      <c r="E20">
        <v>2.5</v>
      </c>
      <c r="F20">
        <v>2.9</v>
      </c>
      <c r="G20">
        <v>0.1</v>
      </c>
      <c r="H20">
        <v>1</v>
      </c>
      <c r="I20">
        <f t="shared" si="0"/>
        <v>652499.99999999988</v>
      </c>
      <c r="J20">
        <v>56</v>
      </c>
      <c r="K20">
        <v>50</v>
      </c>
      <c r="L20">
        <v>47</v>
      </c>
      <c r="M20">
        <v>56</v>
      </c>
      <c r="N20">
        <v>59</v>
      </c>
      <c r="O20">
        <v>92</v>
      </c>
      <c r="P20">
        <v>54</v>
      </c>
      <c r="Q20">
        <v>51</v>
      </c>
      <c r="R20">
        <v>53</v>
      </c>
      <c r="S20">
        <v>59</v>
      </c>
      <c r="T20">
        <v>41</v>
      </c>
      <c r="U20">
        <v>57</v>
      </c>
    </row>
    <row r="21" spans="1:33" x14ac:dyDescent="0.2">
      <c r="A21" t="s">
        <v>52</v>
      </c>
      <c r="B21" s="1">
        <v>46280</v>
      </c>
      <c r="C21" s="1">
        <v>46294</v>
      </c>
      <c r="D21">
        <v>1</v>
      </c>
      <c r="E21">
        <v>2.5</v>
      </c>
      <c r="F21">
        <v>2.9</v>
      </c>
      <c r="G21">
        <v>0.1</v>
      </c>
      <c r="H21">
        <v>1</v>
      </c>
      <c r="I21">
        <f t="shared" si="0"/>
        <v>521999.99999999988</v>
      </c>
      <c r="J21">
        <v>38</v>
      </c>
      <c r="K21">
        <v>42</v>
      </c>
      <c r="L21">
        <v>42</v>
      </c>
      <c r="M21">
        <v>47</v>
      </c>
      <c r="N21">
        <v>57</v>
      </c>
      <c r="O21">
        <v>36</v>
      </c>
      <c r="P21">
        <v>39</v>
      </c>
      <c r="Q21">
        <v>39</v>
      </c>
      <c r="R21">
        <v>43</v>
      </c>
      <c r="S21">
        <v>55</v>
      </c>
      <c r="T21">
        <v>55</v>
      </c>
      <c r="U21">
        <v>52</v>
      </c>
      <c r="V21">
        <v>40</v>
      </c>
    </row>
    <row r="22" spans="1:33" x14ac:dyDescent="0.2">
      <c r="A22" t="s">
        <v>53</v>
      </c>
      <c r="B22" s="1">
        <v>46280</v>
      </c>
      <c r="C22" s="1">
        <v>46294</v>
      </c>
      <c r="D22">
        <v>1</v>
      </c>
      <c r="E22">
        <v>2.5</v>
      </c>
      <c r="F22">
        <v>2.9</v>
      </c>
      <c r="G22">
        <v>0.1</v>
      </c>
      <c r="H22">
        <v>1</v>
      </c>
      <c r="I22">
        <f t="shared" si="0"/>
        <v>100049.99999999999</v>
      </c>
      <c r="J22">
        <v>10</v>
      </c>
      <c r="K22">
        <v>13</v>
      </c>
      <c r="L22">
        <v>6</v>
      </c>
      <c r="M22">
        <v>6</v>
      </c>
      <c r="N22">
        <v>7</v>
      </c>
      <c r="O22">
        <v>11</v>
      </c>
      <c r="P22">
        <v>8</v>
      </c>
      <c r="Q22">
        <v>6</v>
      </c>
      <c r="R22">
        <v>9</v>
      </c>
      <c r="S22">
        <v>6</v>
      </c>
      <c r="T22">
        <v>14</v>
      </c>
      <c r="U22">
        <v>14</v>
      </c>
      <c r="V22">
        <v>4</v>
      </c>
      <c r="W22">
        <v>6</v>
      </c>
      <c r="X22">
        <v>7</v>
      </c>
      <c r="Y22">
        <v>8</v>
      </c>
      <c r="Z22">
        <v>10</v>
      </c>
      <c r="AA22">
        <v>14</v>
      </c>
      <c r="AB22">
        <v>13</v>
      </c>
      <c r="AC22">
        <v>10</v>
      </c>
      <c r="AD22">
        <v>5</v>
      </c>
      <c r="AE22">
        <v>5</v>
      </c>
      <c r="AF22">
        <v>4</v>
      </c>
      <c r="AG22">
        <v>11</v>
      </c>
    </row>
    <row r="23" spans="1:33" x14ac:dyDescent="0.2">
      <c r="A23" t="s">
        <v>54</v>
      </c>
      <c r="B23" s="1">
        <v>46280</v>
      </c>
      <c r="C23" s="1">
        <v>46294</v>
      </c>
      <c r="D23">
        <v>1</v>
      </c>
      <c r="E23">
        <v>2.5</v>
      </c>
      <c r="F23">
        <v>2.9</v>
      </c>
      <c r="G23">
        <v>0.1</v>
      </c>
      <c r="H23">
        <v>1</v>
      </c>
      <c r="I23">
        <f t="shared" si="0"/>
        <v>90357.894736842092</v>
      </c>
      <c r="J23">
        <v>5</v>
      </c>
      <c r="K23">
        <v>8</v>
      </c>
      <c r="L23">
        <v>9</v>
      </c>
      <c r="M23">
        <v>8</v>
      </c>
      <c r="N23">
        <v>10</v>
      </c>
      <c r="O23">
        <v>9</v>
      </c>
      <c r="P23">
        <v>11</v>
      </c>
      <c r="Q23">
        <v>13</v>
      </c>
      <c r="R23">
        <v>5</v>
      </c>
      <c r="S23">
        <v>6</v>
      </c>
      <c r="T23">
        <v>5</v>
      </c>
      <c r="U23">
        <v>3</v>
      </c>
      <c r="V23">
        <v>3</v>
      </c>
      <c r="W23">
        <v>11</v>
      </c>
      <c r="X23">
        <v>7</v>
      </c>
      <c r="Y23">
        <v>8</v>
      </c>
      <c r="Z23">
        <v>5</v>
      </c>
      <c r="AA23">
        <v>10</v>
      </c>
      <c r="AB23">
        <v>12</v>
      </c>
    </row>
    <row r="24" spans="1:33" x14ac:dyDescent="0.2">
      <c r="A24" t="s">
        <v>55</v>
      </c>
      <c r="B24" s="1">
        <v>46280</v>
      </c>
      <c r="C24" s="1">
        <v>46294</v>
      </c>
      <c r="D24">
        <v>1</v>
      </c>
      <c r="E24">
        <v>2.5</v>
      </c>
      <c r="F24">
        <v>2.9</v>
      </c>
      <c r="G24">
        <v>0.1</v>
      </c>
      <c r="H24">
        <v>1</v>
      </c>
      <c r="I24">
        <f t="shared" si="0"/>
        <v>89899.999999999985</v>
      </c>
      <c r="J24">
        <v>9</v>
      </c>
      <c r="K24">
        <v>9</v>
      </c>
      <c r="L24">
        <v>7</v>
      </c>
      <c r="M24">
        <v>13</v>
      </c>
      <c r="N24">
        <v>10</v>
      </c>
      <c r="O24">
        <v>11</v>
      </c>
      <c r="P24">
        <v>10</v>
      </c>
      <c r="Q24">
        <v>8</v>
      </c>
      <c r="R24">
        <v>10</v>
      </c>
      <c r="S24">
        <v>6</v>
      </c>
      <c r="T24">
        <v>11</v>
      </c>
      <c r="U24">
        <v>7</v>
      </c>
      <c r="V24">
        <v>7</v>
      </c>
      <c r="W24">
        <v>7</v>
      </c>
      <c r="X24">
        <v>8</v>
      </c>
      <c r="Y24">
        <v>7</v>
      </c>
      <c r="Z24">
        <v>3</v>
      </c>
      <c r="AA24">
        <v>5</v>
      </c>
      <c r="AB24">
        <v>3</v>
      </c>
      <c r="AC24">
        <v>12</v>
      </c>
      <c r="AD24">
        <v>4</v>
      </c>
      <c r="AE24">
        <v>6</v>
      </c>
      <c r="AF24">
        <v>8</v>
      </c>
      <c r="AG24">
        <v>5</v>
      </c>
    </row>
    <row r="25" spans="1:33" x14ac:dyDescent="0.2">
      <c r="A25" t="s">
        <v>56</v>
      </c>
      <c r="B25" s="1">
        <v>46280</v>
      </c>
      <c r="C25" s="1">
        <v>46294</v>
      </c>
      <c r="D25">
        <v>1</v>
      </c>
      <c r="E25">
        <v>2.5</v>
      </c>
      <c r="F25">
        <v>2.9</v>
      </c>
      <c r="G25">
        <v>0.1</v>
      </c>
      <c r="H25">
        <v>1</v>
      </c>
      <c r="I25">
        <f t="shared" si="0"/>
        <v>106842.10526315789</v>
      </c>
      <c r="J25">
        <v>5</v>
      </c>
      <c r="K25">
        <v>10</v>
      </c>
      <c r="L25">
        <v>11</v>
      </c>
      <c r="M25">
        <v>13</v>
      </c>
      <c r="N25">
        <v>8</v>
      </c>
      <c r="O25">
        <v>7</v>
      </c>
      <c r="P25">
        <v>12</v>
      </c>
      <c r="Q25">
        <v>7</v>
      </c>
      <c r="R25">
        <v>4</v>
      </c>
      <c r="S25">
        <v>12</v>
      </c>
      <c r="T25">
        <v>13</v>
      </c>
      <c r="U25">
        <v>9</v>
      </c>
      <c r="V25">
        <v>8</v>
      </c>
      <c r="W25">
        <v>10</v>
      </c>
      <c r="X25">
        <v>15</v>
      </c>
      <c r="Y25">
        <v>8</v>
      </c>
      <c r="Z25">
        <v>7</v>
      </c>
      <c r="AA25">
        <v>9</v>
      </c>
      <c r="AB25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987022-e206-44f0-b9b6-3f4056d467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DC248AC83F842950962F41301E3EE" ma:contentTypeVersion="15" ma:contentTypeDescription="Create a new document." ma:contentTypeScope="" ma:versionID="1f9b479429e467ef15a02a07a6fb7ff8">
  <xsd:schema xmlns:xsd="http://www.w3.org/2001/XMLSchema" xmlns:xs="http://www.w3.org/2001/XMLSchema" xmlns:p="http://schemas.microsoft.com/office/2006/metadata/properties" xmlns:ns3="37987022-e206-44f0-b9b6-3f4056d46799" xmlns:ns4="045033bc-278a-4beb-ae8e-d28031ccb16c" targetNamespace="http://schemas.microsoft.com/office/2006/metadata/properties" ma:root="true" ma:fieldsID="67a1b13461431fe6aca8480bfedd0eda" ns3:_="" ns4:_="">
    <xsd:import namespace="37987022-e206-44f0-b9b6-3f4056d46799"/>
    <xsd:import namespace="045033bc-278a-4beb-ae8e-d28031ccb1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87022-e206-44f0-b9b6-3f4056d46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033bc-278a-4beb-ae8e-d28031ccb1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6F510F-8031-4429-AA7F-722D2774F6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3F9356-081D-422D-9789-6E725335C6B4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033bc-278a-4beb-ae8e-d28031ccb16c"/>
    <ds:schemaRef ds:uri="http://schemas.openxmlformats.org/package/2006/metadata/core-properties"/>
    <ds:schemaRef ds:uri="http://purl.org/dc/terms/"/>
    <ds:schemaRef ds:uri="37987022-e206-44f0-b9b6-3f4056d46799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C5D68FB-D597-47BA-AD64-1F8A3C4E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87022-e206-44f0-b9b6-3f4056d46799"/>
    <ds:schemaRef ds:uri="045033bc-278a-4beb-ae8e-d28031ccb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0x010100F2DDC248AC83F842950962F41301E3EE</vt:lpwstr>
  </property>
</Properties>
</file>