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de B" sheetId="1" state="visible" r:id="rId1"/>
    <sheet name="Clade A" sheetId="2" state="visible" r:id="rId2"/>
    <sheet name="Contr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E+00"/>
  </numFmts>
  <fonts count="2">
    <font>
      <name val="Calibri"/>
      <family val="2"/>
      <color theme="1"/>
      <sz val="11"/>
      <scheme val="minor"/>
    </font>
    <font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4"/>
  <sheetViews>
    <sheetView workbookViewId="0">
      <selection activeCell="A1" sqref="A1"/>
    </sheetView>
  </sheetViews>
  <sheetFormatPr baseColWidth="10" defaultRowHeight="16"/>
  <cols>
    <col width="18.6640625" customWidth="1" min="1" max="1"/>
    <col width="13" customWidth="1" min="2" max="2"/>
    <col width="14.5" customWidth="1" min="3" max="3"/>
    <col width="11.6640625" customWidth="1" min="4" max="4"/>
    <col width="17.1640625" customWidth="1" min="5" max="5"/>
    <col width="14" customWidth="1" min="6" max="6"/>
    <col hidden="1" min="8" max="8"/>
    <col hidden="1" width="10.83203125" customWidth="1" min="9" max="9"/>
    <col hidden="1" width="10.83203125" customWidth="1" min="10" max="10"/>
    <col hidden="1" width="10.83203125" customWidth="1" min="11" max="11"/>
    <col hidden="1" width="10.83203125" customWidth="1" min="12" max="12"/>
    <col hidden="1" width="10.83203125" customWidth="1" min="13" max="13"/>
    <col hidden="1" width="10.83203125" customWidth="1" min="14" max="14"/>
    <col hidden="1" width="10.83203125" customWidth="1" min="15" max="15"/>
    <col hidden="1" width="10.83203125" customWidth="1" min="16" max="16"/>
    <col hidden="1" width="10.83203125" customWidth="1" min="17" max="17"/>
    <col hidden="1" width="10.83203125" customWidth="1" min="18" max="18"/>
    <col hidden="1" width="10.83203125" customWidth="1" min="19" max="19"/>
    <col hidden="1" width="10.83203125" customWidth="1" min="20" max="20"/>
    <col hidden="1" width="10.83203125" customWidth="1" min="21" max="21"/>
    <col hidden="1" width="10.83203125" customWidth="1" min="22" max="22"/>
    <col hidden="1" width="10.83203125" customWidth="1" min="23" max="23"/>
    <col hidden="1" width="10.83203125" customWidth="1" min="24" max="24"/>
    <col hidden="1" width="10.83203125" customWidth="1" min="25" max="25"/>
    <col hidden="1" width="10.83203125" customWidth="1" min="26" max="26"/>
    <col hidden="1" width="10.83203125" customWidth="1" min="27" max="27"/>
    <col hidden="1" width="10.83203125" customWidth="1" min="28" max="28"/>
    <col hidden="1" width="10.83203125" customWidth="1" min="29" max="29"/>
    <col hidden="1" width="10.83203125" customWidth="1" min="30" max="30"/>
    <col hidden="1" width="10.83203125" customWidth="1" min="31" max="31"/>
    <col hidden="1" width="10.83203125" customWidth="1" min="32" max="32"/>
  </cols>
  <sheetData>
    <row r="1">
      <c r="A1" s="1" t="inlineStr">
        <is>
          <t>Synthetic assay</t>
        </is>
      </c>
      <c r="B1" s="1" t="inlineStr">
        <is>
          <t>Clade B counts</t>
        </is>
      </c>
    </row>
    <row r="3">
      <c r="A3" s="1" t="inlineStr">
        <is>
          <t>Slides from 17-03-2026</t>
        </is>
      </c>
    </row>
    <row r="4">
      <c r="A4" s="2" t="inlineStr">
        <is>
          <t>Cy5 red &amp; Cy3 green 
(yellow counts)</t>
        </is>
      </c>
      <c r="B4" s="2" t="inlineStr">
        <is>
          <t>assay</t>
        </is>
      </c>
      <c r="C4" s="2" t="inlineStr">
        <is>
          <t>Phage &amp; dilution</t>
        </is>
      </c>
      <c r="D4" s="2" t="inlineStr">
        <is>
          <t>Slide number</t>
        </is>
      </c>
      <c r="E4" s="2" t="inlineStr">
        <is>
          <t>yellow</t>
        </is>
      </c>
      <c r="F4" s="2" t="inlineStr">
        <is>
          <t>summ / slide</t>
        </is>
      </c>
      <c r="G4" s="2" t="inlineStr">
        <is>
          <t>well area/grid area</t>
        </is>
      </c>
      <c r="H4" s="2" t="inlineStr">
        <is>
          <t>total yellow polonies/ grid</t>
        </is>
      </c>
      <c r="AG4" s="2" t="inlineStr">
        <is>
          <t>average number of polonies/grid</t>
        </is>
      </c>
      <c r="AH4" s="2" t="inlineStr">
        <is>
          <t>polonies/ slide</t>
        </is>
      </c>
      <c r="AI4" s="2" t="inlineStr">
        <is>
          <t>dilution</t>
        </is>
      </c>
      <c r="AJ4" s="2" t="inlineStr">
        <is>
          <t>sample volume/ slide</t>
        </is>
      </c>
      <c r="AK4" s="2" t="inlineStr">
        <is>
          <t xml:space="preserve"> polonies/ ml</t>
        </is>
      </c>
      <c r="AL4" s="2" t="inlineStr">
        <is>
          <t>%v diff btw slides</t>
        </is>
      </c>
      <c r="AM4" s="2" t="inlineStr">
        <is>
          <t xml:space="preserve">Average </t>
        </is>
      </c>
      <c r="AN4" s="2" t="inlineStr">
        <is>
          <t>Average - NTC</t>
        </is>
      </c>
      <c r="AO4" s="2" t="inlineStr">
        <is>
          <t>Efficiency average</t>
        </is>
      </c>
      <c r="AP4" s="2" t="inlineStr">
        <is>
          <t>Efficiency average-NTC</t>
        </is>
      </c>
      <c r="AQ4" s="2" t="inlineStr">
        <is>
          <t>pol/slide -NTC</t>
        </is>
      </c>
    </row>
    <row r="5"/>
    <row r="6">
      <c r="C6" t="inlineStr">
        <is>
          <t>03-03-2026</t>
        </is>
      </c>
      <c r="D6" t="inlineStr">
        <is>
          <t>A</t>
        </is>
      </c>
      <c r="E6" t="n">
        <v>0</v>
      </c>
      <c r="F6">
        <f>SUM(H7:AE7)</f>
        <v>380</v>
      </c>
      <c r="H6" t="inlineStr">
        <is>
          <t>Field-1</t>
        </is>
      </c>
      <c r="I6" t="inlineStr">
        <is>
          <t>Field-2</t>
        </is>
      </c>
      <c r="J6" t="inlineStr">
        <is>
          <t>Field-3</t>
        </is>
      </c>
      <c r="K6" t="inlineStr">
        <is>
          <t>Field-4</t>
        </is>
      </c>
      <c r="L6" t="inlineStr">
        <is>
          <t>Field-5</t>
        </is>
      </c>
      <c r="M6" t="inlineStr">
        <is>
          <t>Field-6</t>
        </is>
      </c>
      <c r="N6" t="inlineStr">
        <is>
          <t>Field-7</t>
        </is>
      </c>
      <c r="O6" t="inlineStr">
        <is>
          <t>Field-8</t>
        </is>
      </c>
      <c r="P6" t="inlineStr">
        <is>
          <t>Field-9</t>
        </is>
      </c>
      <c r="Q6" t="inlineStr">
        <is>
          <t>Field-10</t>
        </is>
      </c>
      <c r="R6" t="inlineStr">
        <is>
          <t>Field-11</t>
        </is>
      </c>
      <c r="S6" t="inlineStr">
        <is>
          <t>Field-12</t>
        </is>
      </c>
      <c r="T6" t="inlineStr">
        <is>
          <t>Field-13</t>
        </is>
      </c>
      <c r="U6" t="inlineStr">
        <is>
          <t>Field-14</t>
        </is>
      </c>
      <c r="V6" t="inlineStr">
        <is>
          <t>Field-15</t>
        </is>
      </c>
      <c r="W6" t="inlineStr">
        <is>
          <t>Field-16</t>
        </is>
      </c>
      <c r="X6" t="inlineStr">
        <is>
          <t>Field-17</t>
        </is>
      </c>
      <c r="Y6" t="inlineStr">
        <is>
          <t>Field-18</t>
        </is>
      </c>
      <c r="Z6" t="inlineStr">
        <is>
          <t>Field-19</t>
        </is>
      </c>
      <c r="AA6" t="inlineStr">
        <is>
          <t>Field-20</t>
        </is>
      </c>
      <c r="AB6" t="inlineStr">
        <is>
          <t>Field-21</t>
        </is>
      </c>
      <c r="AC6" t="inlineStr">
        <is>
          <t>Field-22</t>
        </is>
      </c>
      <c r="AD6" t="inlineStr">
        <is>
          <t>Field-23</t>
        </is>
      </c>
      <c r="AE6" t="inlineStr">
        <is>
          <t>Field-24</t>
        </is>
      </c>
    </row>
    <row r="7">
      <c r="G7" s="3" t="n">
        <v>29</v>
      </c>
      <c r="H7" t="n">
        <v>25</v>
      </c>
      <c r="I7" t="n">
        <v>28</v>
      </c>
      <c r="J7" t="n">
        <v>28</v>
      </c>
      <c r="K7" t="n">
        <v>27</v>
      </c>
      <c r="L7" t="n">
        <v>17</v>
      </c>
      <c r="M7" t="n">
        <v>20</v>
      </c>
      <c r="N7" t="n">
        <v>13</v>
      </c>
      <c r="O7" t="n">
        <v>25</v>
      </c>
      <c r="P7" t="n">
        <v>27</v>
      </c>
      <c r="Q7" t="n">
        <v>15</v>
      </c>
      <c r="R7" t="n">
        <v>20</v>
      </c>
      <c r="S7" t="n">
        <v>12</v>
      </c>
      <c r="T7" t="n">
        <v>28</v>
      </c>
      <c r="U7" t="n">
        <v>16</v>
      </c>
      <c r="V7" t="n">
        <v>18</v>
      </c>
      <c r="W7" t="n">
        <v>22</v>
      </c>
      <c r="X7" t="n">
        <v>20</v>
      </c>
      <c r="Y7" t="n">
        <v>19</v>
      </c>
      <c r="AG7" s="3">
        <f>AVERAGE(H7:AE7)</f>
        <v>21.11111111111111</v>
      </c>
      <c r="AH7" s="4">
        <f>AG7*G7</f>
        <v>612.2222222222222</v>
      </c>
      <c r="AI7" t="n">
        <v>1</v>
      </c>
      <c r="AJ7">
        <f>5.4*11.6/25</f>
        <v>2.5056</v>
      </c>
      <c r="AK7" s="5">
        <f>(AH7)*1000/AJ7*AI7</f>
        <v>244341.56378600822</v>
      </c>
      <c r="AL7" s="3">
        <f>100*ABS(AH7-AH9)/AVERAGE(AH7,AH9)</f>
        <v>0.8082064034815029</v>
      </c>
      <c r="AM7" s="4">
        <f>AVERAGE(AH7,AH9)</f>
        <v>609.7581699346405</v>
      </c>
      <c r="AN7" s="3" t="e">
        <f>AM7-#REF!</f>
        <v>#REF!</v>
      </c>
      <c r="AO7" s="3">
        <f>100*AM7/1500</f>
        <v>40.650544662309365</v>
      </c>
      <c r="AP7" t="e">
        <f>100*AN7/1000</f>
        <v>#REF!</v>
      </c>
      <c r="AQ7" s="4" t="e">
        <f>AH7-#REF!</f>
        <v>#REF!</v>
      </c>
    </row>
    <row r="8">
      <c r="B8" t="inlineStr">
        <is>
          <t>Clade B</t>
        </is>
      </c>
      <c r="C8" t="inlineStr">
        <is>
          <t>S01</t>
        </is>
      </c>
      <c r="D8" t="inlineStr">
        <is>
          <t>B</t>
        </is>
      </c>
      <c r="F8">
        <f>SUM(H9:AE9)</f>
        <v>356</v>
      </c>
      <c r="H8" t="inlineStr">
        <is>
          <t>Field-1</t>
        </is>
      </c>
      <c r="I8" t="inlineStr">
        <is>
          <t>Field-2</t>
        </is>
      </c>
      <c r="J8" t="inlineStr">
        <is>
          <t>Field-3</t>
        </is>
      </c>
      <c r="K8" t="inlineStr">
        <is>
          <t>Field-4</t>
        </is>
      </c>
      <c r="L8" t="inlineStr">
        <is>
          <t>Field-5</t>
        </is>
      </c>
      <c r="M8" t="inlineStr">
        <is>
          <t>Field-6</t>
        </is>
      </c>
      <c r="N8" t="inlineStr">
        <is>
          <t>Field-7</t>
        </is>
      </c>
      <c r="O8" t="inlineStr">
        <is>
          <t>Field-8</t>
        </is>
      </c>
      <c r="P8" t="inlineStr">
        <is>
          <t>Field-9</t>
        </is>
      </c>
      <c r="Q8" t="inlineStr">
        <is>
          <t>Field-10</t>
        </is>
      </c>
      <c r="R8" t="inlineStr">
        <is>
          <t>Field-11</t>
        </is>
      </c>
      <c r="S8" t="inlineStr">
        <is>
          <t>Field-12</t>
        </is>
      </c>
      <c r="T8" t="inlineStr">
        <is>
          <t>Field-13</t>
        </is>
      </c>
      <c r="U8" t="inlineStr">
        <is>
          <t>Field-14</t>
        </is>
      </c>
      <c r="V8" t="inlineStr">
        <is>
          <t>Field-15</t>
        </is>
      </c>
      <c r="W8" t="inlineStr">
        <is>
          <t>Field-16</t>
        </is>
      </c>
      <c r="X8" t="inlineStr">
        <is>
          <t>Field-17</t>
        </is>
      </c>
      <c r="Y8" t="inlineStr">
        <is>
          <t>Field-18</t>
        </is>
      </c>
      <c r="Z8" t="inlineStr">
        <is>
          <t>Field-19</t>
        </is>
      </c>
      <c r="AA8" t="inlineStr">
        <is>
          <t>Field-20</t>
        </is>
      </c>
      <c r="AB8" t="inlineStr">
        <is>
          <t>Field-21</t>
        </is>
      </c>
      <c r="AC8" t="inlineStr">
        <is>
          <t>Field-22</t>
        </is>
      </c>
      <c r="AD8" t="inlineStr">
        <is>
          <t>Field-23</t>
        </is>
      </c>
      <c r="AE8" t="inlineStr">
        <is>
          <t>Field-24</t>
        </is>
      </c>
    </row>
    <row r="9">
      <c r="G9" s="3" t="n">
        <v>29</v>
      </c>
      <c r="H9" t="n">
        <v>20</v>
      </c>
      <c r="I9" t="n">
        <v>21</v>
      </c>
      <c r="J9" t="n">
        <v>25</v>
      </c>
      <c r="K9" t="n">
        <v>13</v>
      </c>
      <c r="L9" t="n">
        <v>14</v>
      </c>
      <c r="M9" t="n">
        <v>28</v>
      </c>
      <c r="N9" t="n">
        <v>26</v>
      </c>
      <c r="O9" t="n">
        <v>17</v>
      </c>
      <c r="P9" t="n">
        <v>14</v>
      </c>
      <c r="Q9" t="n">
        <v>26</v>
      </c>
      <c r="R9" t="n">
        <v>19</v>
      </c>
      <c r="S9" t="n">
        <v>21</v>
      </c>
      <c r="T9" t="n">
        <v>28</v>
      </c>
      <c r="U9" t="n">
        <v>26</v>
      </c>
      <c r="V9" t="n">
        <v>22</v>
      </c>
      <c r="W9" t="n">
        <v>17</v>
      </c>
      <c r="X9" t="n">
        <v>19</v>
      </c>
      <c r="AG9" s="3">
        <f>AVERAGE(H9:AE9)</f>
        <v>20.941176470588236</v>
      </c>
      <c r="AH9" s="4">
        <f>AG9*G9</f>
        <v>607.2941176470588</v>
      </c>
      <c r="AI9" t="n">
        <v>1</v>
      </c>
      <c r="AJ9">
        <f>5.4*11.6/25</f>
        <v>2.5056</v>
      </c>
      <c r="AK9" s="5">
        <f>(AH9)*1000/AJ9*AI9</f>
        <v>242374.72766884533</v>
      </c>
      <c r="AL9" s="3" t="n"/>
      <c r="AM9" s="4" t="e">
        <f>AVERAGE(AH9,#REF!)</f>
        <v>#REF!</v>
      </c>
      <c r="AN9" s="3" t="e">
        <f>AM9-#REF!</f>
        <v>#REF!</v>
      </c>
      <c r="AO9" s="3" t="e">
        <f>100*AM9/1500</f>
        <v>#REF!</v>
      </c>
      <c r="AP9" t="e">
        <f>100*AN9/1000</f>
        <v>#REF!</v>
      </c>
      <c r="AQ9" s="4" t="e">
        <f>AH9-#REF!</f>
        <v>#REF!</v>
      </c>
    </row>
    <row r="11">
      <c r="C11" t="inlineStr">
        <is>
          <t>03-03-2026</t>
        </is>
      </c>
      <c r="D11" t="inlineStr">
        <is>
          <t>A</t>
        </is>
      </c>
      <c r="F11">
        <f>SUM(H12:AE12)</f>
        <v>730</v>
      </c>
      <c r="H11" t="inlineStr">
        <is>
          <t>Field-1</t>
        </is>
      </c>
      <c r="I11" t="inlineStr">
        <is>
          <t>Field-2</t>
        </is>
      </c>
      <c r="J11" t="inlineStr">
        <is>
          <t>Field-3</t>
        </is>
      </c>
      <c r="K11" t="inlineStr">
        <is>
          <t>Field-4</t>
        </is>
      </c>
      <c r="L11" t="inlineStr">
        <is>
          <t>Field-5</t>
        </is>
      </c>
      <c r="M11" t="inlineStr">
        <is>
          <t>Field-6</t>
        </is>
      </c>
      <c r="N11" t="inlineStr">
        <is>
          <t>Field-7</t>
        </is>
      </c>
      <c r="O11" t="inlineStr">
        <is>
          <t>Field-8</t>
        </is>
      </c>
      <c r="P11" t="inlineStr">
        <is>
          <t>Field-9</t>
        </is>
      </c>
      <c r="Q11" t="inlineStr">
        <is>
          <t>Field-10</t>
        </is>
      </c>
      <c r="R11" t="inlineStr">
        <is>
          <t>Field-11</t>
        </is>
      </c>
      <c r="S11" t="inlineStr">
        <is>
          <t>Field-12</t>
        </is>
      </c>
      <c r="T11" t="inlineStr">
        <is>
          <t>Field-13</t>
        </is>
      </c>
      <c r="U11" t="inlineStr">
        <is>
          <t>Field-14</t>
        </is>
      </c>
      <c r="V11" t="inlineStr">
        <is>
          <t>Field-15</t>
        </is>
      </c>
      <c r="W11" t="inlineStr">
        <is>
          <t>Field-16</t>
        </is>
      </c>
      <c r="X11" t="inlineStr">
        <is>
          <t>Field-17</t>
        </is>
      </c>
      <c r="Y11" t="inlineStr">
        <is>
          <t>Field-18</t>
        </is>
      </c>
      <c r="Z11" t="inlineStr">
        <is>
          <t>Field-19</t>
        </is>
      </c>
      <c r="AA11" t="inlineStr">
        <is>
          <t>Field-20</t>
        </is>
      </c>
      <c r="AB11" t="inlineStr">
        <is>
          <t>Field-21</t>
        </is>
      </c>
      <c r="AC11" t="inlineStr">
        <is>
          <t>Field-22</t>
        </is>
      </c>
      <c r="AD11" t="inlineStr">
        <is>
          <t>Field-23</t>
        </is>
      </c>
      <c r="AE11" t="inlineStr">
        <is>
          <t>Field-24</t>
        </is>
      </c>
    </row>
    <row r="12">
      <c r="G12" s="3" t="n">
        <v>29</v>
      </c>
      <c r="H12" t="n">
        <v>27</v>
      </c>
      <c r="I12" t="n">
        <v>25</v>
      </c>
      <c r="J12" t="n">
        <v>34</v>
      </c>
      <c r="K12" t="n">
        <v>26</v>
      </c>
      <c r="L12" t="n">
        <v>36</v>
      </c>
      <c r="M12" t="n">
        <v>39</v>
      </c>
      <c r="N12" t="n">
        <v>28</v>
      </c>
      <c r="O12" t="n">
        <v>30</v>
      </c>
      <c r="P12" t="n">
        <v>27</v>
      </c>
      <c r="Q12" t="n">
        <v>40</v>
      </c>
      <c r="R12" t="n">
        <v>25</v>
      </c>
      <c r="S12" t="n">
        <v>34</v>
      </c>
      <c r="T12" t="n">
        <v>37</v>
      </c>
      <c r="U12" t="n">
        <v>27</v>
      </c>
      <c r="V12" t="n">
        <v>25</v>
      </c>
      <c r="W12" t="n">
        <v>39</v>
      </c>
      <c r="X12" t="n">
        <v>37</v>
      </c>
      <c r="Y12" t="n">
        <v>35</v>
      </c>
      <c r="Z12" t="n">
        <v>30</v>
      </c>
      <c r="AA12" t="n">
        <v>37</v>
      </c>
      <c r="AB12" t="n">
        <v>28</v>
      </c>
      <c r="AC12" t="n">
        <v>38</v>
      </c>
      <c r="AD12" t="n">
        <v>26</v>
      </c>
      <c r="AG12" s="3">
        <f>AVERAGE(H12:AE12)</f>
        <v>31.73913043478261</v>
      </c>
      <c r="AH12" s="4">
        <f>AG12*G12</f>
        <v>920.4347826086956</v>
      </c>
      <c r="AI12" t="n">
        <v>1</v>
      </c>
      <c r="AJ12">
        <f>5.4*11.6/25</f>
        <v>2.5056</v>
      </c>
      <c r="AK12" s="5">
        <f>(AH12)*1000/AJ12*AI12</f>
        <v>367351.0466988728</v>
      </c>
      <c r="AL12" s="3">
        <f>100*ABS(AH12-AH14)/AVERAGE(AH12,AH14)</f>
        <v>6.890443716234166</v>
      </c>
      <c r="AM12" s="4">
        <f>AVERAGE(AH12,AH14)</f>
        <v>889.7798913043478</v>
      </c>
      <c r="AN12" s="3" t="e">
        <f>AM12-#REF!</f>
        <v>#REF!</v>
      </c>
      <c r="AO12" s="3">
        <f>100*AM12/1500</f>
        <v>59.31865942028985</v>
      </c>
      <c r="AP12" t="e">
        <f>100*AN12/1000</f>
        <v>#REF!</v>
      </c>
      <c r="AQ12" s="4" t="e">
        <f>AH12-#REF!</f>
        <v>#REF!</v>
      </c>
    </row>
    <row r="13">
      <c r="B13" t="inlineStr">
        <is>
          <t>Clade B</t>
        </is>
      </c>
      <c r="C13" t="inlineStr">
        <is>
          <t>S02</t>
        </is>
      </c>
      <c r="D13" t="inlineStr">
        <is>
          <t>B</t>
        </is>
      </c>
      <c r="F13">
        <f>SUM(H14:AE14)</f>
        <v>237</v>
      </c>
      <c r="H13" t="inlineStr">
        <is>
          <t>Field-1</t>
        </is>
      </c>
      <c r="I13" t="inlineStr">
        <is>
          <t>Field-2</t>
        </is>
      </c>
      <c r="J13" t="inlineStr">
        <is>
          <t>Field-3</t>
        </is>
      </c>
      <c r="K13" t="inlineStr">
        <is>
          <t>Field-4</t>
        </is>
      </c>
      <c r="L13" t="inlineStr">
        <is>
          <t>Field-5</t>
        </is>
      </c>
      <c r="M13" t="inlineStr">
        <is>
          <t>Field-6</t>
        </is>
      </c>
      <c r="N13" t="inlineStr">
        <is>
          <t>Field-7</t>
        </is>
      </c>
      <c r="O13" t="inlineStr">
        <is>
          <t>Field-8</t>
        </is>
      </c>
      <c r="P13" t="inlineStr">
        <is>
          <t>Field-9</t>
        </is>
      </c>
      <c r="Q13" t="inlineStr">
        <is>
          <t>Field-10</t>
        </is>
      </c>
      <c r="R13" t="inlineStr">
        <is>
          <t>Field-11</t>
        </is>
      </c>
      <c r="S13" t="inlineStr">
        <is>
          <t>Field-12</t>
        </is>
      </c>
      <c r="T13" t="inlineStr">
        <is>
          <t>Field-13</t>
        </is>
      </c>
      <c r="U13" t="inlineStr">
        <is>
          <t>Field-14</t>
        </is>
      </c>
      <c r="V13" t="inlineStr">
        <is>
          <t>Field-15</t>
        </is>
      </c>
      <c r="W13" t="inlineStr">
        <is>
          <t>Field-16</t>
        </is>
      </c>
      <c r="X13" t="inlineStr">
        <is>
          <t>Field-17</t>
        </is>
      </c>
      <c r="Y13" t="inlineStr">
        <is>
          <t>Field-18</t>
        </is>
      </c>
      <c r="Z13" t="inlineStr">
        <is>
          <t>Field-19</t>
        </is>
      </c>
      <c r="AA13" t="inlineStr">
        <is>
          <t>Field-20</t>
        </is>
      </c>
      <c r="AB13" t="inlineStr">
        <is>
          <t>Field-21</t>
        </is>
      </c>
      <c r="AC13" t="inlineStr">
        <is>
          <t>Field-22</t>
        </is>
      </c>
      <c r="AD13" t="inlineStr">
        <is>
          <t>Field-23</t>
        </is>
      </c>
      <c r="AE13" t="inlineStr">
        <is>
          <t>Field-24</t>
        </is>
      </c>
    </row>
    <row r="14">
      <c r="G14" s="3" t="n">
        <v>29</v>
      </c>
      <c r="H14" t="n">
        <v>29</v>
      </c>
      <c r="I14" t="n">
        <v>24</v>
      </c>
      <c r="J14" t="n">
        <v>24</v>
      </c>
      <c r="K14" t="n">
        <v>26</v>
      </c>
      <c r="L14" t="n">
        <v>31</v>
      </c>
      <c r="M14" t="n">
        <v>25</v>
      </c>
      <c r="N14" t="n">
        <v>40</v>
      </c>
      <c r="O14" t="n">
        <v>38</v>
      </c>
      <c r="AG14" s="3">
        <f>AVERAGE(H14:AE14)</f>
        <v>29.625</v>
      </c>
      <c r="AH14" s="4">
        <f>AG14*G14</f>
        <v>859.125</v>
      </c>
      <c r="AI14" t="n">
        <v>1</v>
      </c>
      <c r="AJ14">
        <f>5.4*11.6/25</f>
        <v>2.5056</v>
      </c>
      <c r="AK14" s="5">
        <f>(AH14)*1000/AJ14*AI14</f>
        <v>342881.9444444445</v>
      </c>
      <c r="AL14" s="3" t="n"/>
      <c r="AM14" s="4" t="e">
        <f>AVERAGE(AH14,#REF!)</f>
        <v>#REF!</v>
      </c>
      <c r="AN14" s="3" t="e">
        <f>AM14-#REF!</f>
        <v>#REF!</v>
      </c>
      <c r="AO14" s="3" t="e">
        <f>100*AM14/1500</f>
        <v>#REF!</v>
      </c>
      <c r="AP14" t="e">
        <f>100*AN14/1000</f>
        <v>#REF!</v>
      </c>
      <c r="AQ14" s="4" t="e">
        <f>AH14-#REF!</f>
        <v>#REF!</v>
      </c>
    </row>
    <row r="16">
      <c r="C16" t="inlineStr">
        <is>
          <t>03-03-2026</t>
        </is>
      </c>
      <c r="D16" t="inlineStr">
        <is>
          <t>A</t>
        </is>
      </c>
      <c r="F16">
        <f>SUM(H17:AE17)</f>
        <v>186</v>
      </c>
      <c r="H16" t="inlineStr">
        <is>
          <t>Field-1</t>
        </is>
      </c>
      <c r="I16" t="inlineStr">
        <is>
          <t>Field-2</t>
        </is>
      </c>
      <c r="J16" t="inlineStr">
        <is>
          <t>Field-3</t>
        </is>
      </c>
      <c r="K16" t="inlineStr">
        <is>
          <t>Field-4</t>
        </is>
      </c>
      <c r="L16" t="inlineStr">
        <is>
          <t>Field-5</t>
        </is>
      </c>
      <c r="M16" t="inlineStr">
        <is>
          <t>Field-6</t>
        </is>
      </c>
      <c r="N16" t="inlineStr">
        <is>
          <t>Field-7</t>
        </is>
      </c>
      <c r="O16" t="inlineStr">
        <is>
          <t>Field-8</t>
        </is>
      </c>
      <c r="P16" t="inlineStr">
        <is>
          <t>Field-9</t>
        </is>
      </c>
      <c r="Q16" t="inlineStr">
        <is>
          <t>Field-10</t>
        </is>
      </c>
      <c r="R16" t="inlineStr">
        <is>
          <t>Field-11</t>
        </is>
      </c>
      <c r="S16" t="inlineStr">
        <is>
          <t>Field-12</t>
        </is>
      </c>
      <c r="T16" t="inlineStr">
        <is>
          <t>Field-13</t>
        </is>
      </c>
      <c r="U16" t="inlineStr">
        <is>
          <t>Field-14</t>
        </is>
      </c>
      <c r="V16" t="inlineStr">
        <is>
          <t>Field-15</t>
        </is>
      </c>
      <c r="W16" t="inlineStr">
        <is>
          <t>Field-16</t>
        </is>
      </c>
      <c r="X16" t="inlineStr">
        <is>
          <t>Field-17</t>
        </is>
      </c>
      <c r="Y16" t="inlineStr">
        <is>
          <t>Field-18</t>
        </is>
      </c>
      <c r="Z16" t="inlineStr">
        <is>
          <t>Field-19</t>
        </is>
      </c>
      <c r="AA16" t="inlineStr">
        <is>
          <t>Field-20</t>
        </is>
      </c>
      <c r="AB16" t="inlineStr">
        <is>
          <t>Field-21</t>
        </is>
      </c>
      <c r="AC16" t="inlineStr">
        <is>
          <t>Field-22</t>
        </is>
      </c>
      <c r="AD16" t="inlineStr">
        <is>
          <t>Field-23</t>
        </is>
      </c>
      <c r="AE16" t="inlineStr">
        <is>
          <t>Field-24</t>
        </is>
      </c>
    </row>
    <row r="17">
      <c r="G17" s="3" t="n">
        <v>29</v>
      </c>
      <c r="H17" t="n">
        <v>19</v>
      </c>
      <c r="I17" t="n">
        <v>0</v>
      </c>
      <c r="J17" t="n">
        <v>12</v>
      </c>
      <c r="K17" t="n">
        <v>5</v>
      </c>
      <c r="L17" t="n">
        <v>14</v>
      </c>
      <c r="M17" t="n">
        <v>5</v>
      </c>
      <c r="N17" t="n">
        <v>10</v>
      </c>
      <c r="O17" t="n">
        <v>17</v>
      </c>
      <c r="P17" t="n">
        <v>7</v>
      </c>
      <c r="Q17" t="n">
        <v>13</v>
      </c>
      <c r="R17" t="n">
        <v>14</v>
      </c>
      <c r="S17" t="n">
        <v>15</v>
      </c>
      <c r="T17" t="n">
        <v>8</v>
      </c>
      <c r="U17" t="n">
        <v>18</v>
      </c>
      <c r="V17" t="n">
        <v>15</v>
      </c>
      <c r="W17" t="n">
        <v>14</v>
      </c>
      <c r="AG17" s="3">
        <f>AVERAGE(H17:AE17)</f>
        <v>11.625</v>
      </c>
      <c r="AH17" s="4">
        <f>AG17*G17</f>
        <v>337.125</v>
      </c>
      <c r="AI17" t="n">
        <v>1</v>
      </c>
      <c r="AJ17">
        <f>5.4*11.6/25</f>
        <v>2.5056</v>
      </c>
      <c r="AK17" s="5">
        <f>(AH17)*1000/AJ17*AI17</f>
        <v>134548.61111111112</v>
      </c>
      <c r="AL17" s="3">
        <f>100*ABS(AH17-AH19)/AVERAGE(AH17,AH19)</f>
        <v>3.1746031746031744</v>
      </c>
      <c r="AM17" s="4">
        <f>AVERAGE(AH17,AH19)</f>
        <v>342.5625</v>
      </c>
      <c r="AN17" s="3" t="e">
        <f>AM17-#REF!</f>
        <v>#REF!</v>
      </c>
      <c r="AO17" s="3">
        <f>100*AM17/1500</f>
        <v>22.8375</v>
      </c>
      <c r="AP17" t="e">
        <f>100*AN17/1000</f>
        <v>#REF!</v>
      </c>
      <c r="AQ17" s="4" t="e">
        <f>AH17-#REF!</f>
        <v>#REF!</v>
      </c>
    </row>
    <row r="18">
      <c r="B18" t="inlineStr">
        <is>
          <t>Clade B</t>
        </is>
      </c>
      <c r="C18" t="inlineStr">
        <is>
          <t>S03</t>
        </is>
      </c>
      <c r="D18" t="inlineStr">
        <is>
          <t>B</t>
        </is>
      </c>
      <c r="F18">
        <f>SUM(H19:AE19)</f>
        <v>168</v>
      </c>
      <c r="H18" t="inlineStr">
        <is>
          <t>Field-1</t>
        </is>
      </c>
      <c r="I18" t="inlineStr">
        <is>
          <t>Field-2</t>
        </is>
      </c>
      <c r="J18" t="inlineStr">
        <is>
          <t>Field-3</t>
        </is>
      </c>
      <c r="K18" t="inlineStr">
        <is>
          <t>Field-4</t>
        </is>
      </c>
      <c r="L18" t="inlineStr">
        <is>
          <t>Field-5</t>
        </is>
      </c>
      <c r="M18" t="inlineStr">
        <is>
          <t>Field-6</t>
        </is>
      </c>
      <c r="N18" t="inlineStr">
        <is>
          <t>Field-7</t>
        </is>
      </c>
      <c r="O18" t="inlineStr">
        <is>
          <t>Field-8</t>
        </is>
      </c>
      <c r="P18" t="inlineStr">
        <is>
          <t>Field-9</t>
        </is>
      </c>
      <c r="Q18" t="inlineStr">
        <is>
          <t>Field-10</t>
        </is>
      </c>
      <c r="R18" t="inlineStr">
        <is>
          <t>Field-11</t>
        </is>
      </c>
      <c r="S18" t="inlineStr">
        <is>
          <t>Field-12</t>
        </is>
      </c>
      <c r="T18" t="inlineStr">
        <is>
          <t>Field-13</t>
        </is>
      </c>
      <c r="U18" t="inlineStr">
        <is>
          <t>Field-14</t>
        </is>
      </c>
      <c r="V18" t="inlineStr">
        <is>
          <t>Field-15</t>
        </is>
      </c>
      <c r="W18" t="inlineStr">
        <is>
          <t>Field-16</t>
        </is>
      </c>
      <c r="X18" t="inlineStr">
        <is>
          <t>Field-17</t>
        </is>
      </c>
      <c r="Y18" t="inlineStr">
        <is>
          <t>Field-18</t>
        </is>
      </c>
      <c r="Z18" t="inlineStr">
        <is>
          <t>Field-19</t>
        </is>
      </c>
      <c r="AA18" t="inlineStr">
        <is>
          <t>Field-20</t>
        </is>
      </c>
      <c r="AB18" t="inlineStr">
        <is>
          <t>Field-21</t>
        </is>
      </c>
      <c r="AC18" t="inlineStr">
        <is>
          <t>Field-22</t>
        </is>
      </c>
      <c r="AD18" t="inlineStr">
        <is>
          <t>Field-23</t>
        </is>
      </c>
      <c r="AE18" t="inlineStr">
        <is>
          <t>Field-24</t>
        </is>
      </c>
    </row>
    <row r="19">
      <c r="G19" s="3" t="n">
        <v>29</v>
      </c>
      <c r="H19" t="n">
        <v>10</v>
      </c>
      <c r="I19" t="n">
        <v>7</v>
      </c>
      <c r="J19" t="n">
        <v>7</v>
      </c>
      <c r="K19" t="n">
        <v>15</v>
      </c>
      <c r="L19" t="n">
        <v>12</v>
      </c>
      <c r="M19" t="n">
        <v>13</v>
      </c>
      <c r="N19" t="n">
        <v>6</v>
      </c>
      <c r="O19" t="n">
        <v>10</v>
      </c>
      <c r="P19" t="n">
        <v>10</v>
      </c>
      <c r="Q19" t="n">
        <v>17</v>
      </c>
      <c r="R19" t="n">
        <v>12</v>
      </c>
      <c r="S19" t="n">
        <v>18</v>
      </c>
      <c r="T19" t="n">
        <v>13</v>
      </c>
      <c r="U19" t="n">
        <v>18</v>
      </c>
      <c r="AG19" s="3">
        <f>AVERAGE(H19:AE19)</f>
        <v>12</v>
      </c>
      <c r="AH19" s="4">
        <f>AG19*G19</f>
        <v>348</v>
      </c>
      <c r="AI19" t="n">
        <v>1</v>
      </c>
      <c r="AJ19">
        <f>5.4*11.6/25</f>
        <v>2.5056</v>
      </c>
      <c r="AK19" s="5">
        <f>(AH19)*1000/AJ19*AI19</f>
        <v>138888.8888888889</v>
      </c>
      <c r="AL19" s="3" t="n"/>
      <c r="AM19" s="4" t="e">
        <f>AVERAGE(AH19,#REF!)</f>
        <v>#REF!</v>
      </c>
      <c r="AN19" s="3" t="e">
        <f>AM19-#REF!</f>
        <v>#REF!</v>
      </c>
      <c r="AO19" s="3" t="e">
        <f>100*AM19/1500</f>
        <v>#REF!</v>
      </c>
      <c r="AP19" t="e">
        <f>100*AN19/1000</f>
        <v>#REF!</v>
      </c>
      <c r="AQ19" s="4" t="e">
        <f>AH19-#REF!</f>
        <v>#REF!</v>
      </c>
    </row>
    <row r="21">
      <c r="C21" t="inlineStr">
        <is>
          <t>03-03-2026</t>
        </is>
      </c>
      <c r="D21" t="inlineStr">
        <is>
          <t>A</t>
        </is>
      </c>
      <c r="E21" t="n">
        <v>2</v>
      </c>
      <c r="F21">
        <f>SUM(H22:AE22)</f>
        <v>136</v>
      </c>
      <c r="H21" t="inlineStr">
        <is>
          <t>Field-1</t>
        </is>
      </c>
      <c r="I21" t="inlineStr">
        <is>
          <t>Field-2</t>
        </is>
      </c>
      <c r="J21" t="inlineStr">
        <is>
          <t>Field-3</t>
        </is>
      </c>
      <c r="K21" t="inlineStr">
        <is>
          <t>Field-4</t>
        </is>
      </c>
      <c r="L21" t="inlineStr">
        <is>
          <t>Field-5</t>
        </is>
      </c>
      <c r="M21" t="inlineStr">
        <is>
          <t>Field-6</t>
        </is>
      </c>
      <c r="N21" t="inlineStr">
        <is>
          <t>Field-7</t>
        </is>
      </c>
      <c r="O21" t="inlineStr">
        <is>
          <t>Field-8</t>
        </is>
      </c>
      <c r="P21" t="inlineStr">
        <is>
          <t>Field-9</t>
        </is>
      </c>
      <c r="Q21" t="inlineStr">
        <is>
          <t>Field-10</t>
        </is>
      </c>
      <c r="R21" t="inlineStr">
        <is>
          <t>Field-11</t>
        </is>
      </c>
      <c r="S21" t="inlineStr">
        <is>
          <t>Field-12</t>
        </is>
      </c>
      <c r="T21" t="inlineStr">
        <is>
          <t>Field-13</t>
        </is>
      </c>
      <c r="U21" t="inlineStr">
        <is>
          <t>Field-14</t>
        </is>
      </c>
      <c r="V21" t="inlineStr">
        <is>
          <t>Field-15</t>
        </is>
      </c>
      <c r="W21" t="inlineStr">
        <is>
          <t>Field-16</t>
        </is>
      </c>
      <c r="X21" t="inlineStr">
        <is>
          <t>Field-17</t>
        </is>
      </c>
      <c r="Y21" t="inlineStr">
        <is>
          <t>Field-18</t>
        </is>
      </c>
      <c r="Z21" t="inlineStr">
        <is>
          <t>Field-19</t>
        </is>
      </c>
      <c r="AA21" t="inlineStr">
        <is>
          <t>Field-20</t>
        </is>
      </c>
      <c r="AB21" t="inlineStr">
        <is>
          <t>Field-21</t>
        </is>
      </c>
      <c r="AC21" t="inlineStr">
        <is>
          <t>Field-22</t>
        </is>
      </c>
      <c r="AD21" t="inlineStr">
        <is>
          <t>Field-23</t>
        </is>
      </c>
      <c r="AE21" t="inlineStr">
        <is>
          <t>Field-24</t>
        </is>
      </c>
    </row>
    <row r="22">
      <c r="G22" s="3" t="n">
        <v>29</v>
      </c>
      <c r="H22" t="n">
        <v>19</v>
      </c>
      <c r="I22" t="n">
        <v>31</v>
      </c>
      <c r="J22" t="n">
        <v>16</v>
      </c>
      <c r="K22" t="n">
        <v>21</v>
      </c>
      <c r="L22" t="n">
        <v>20</v>
      </c>
      <c r="M22" t="n">
        <v>29</v>
      </c>
      <c r="AG22" s="3">
        <f>AVERAGE(H22:AE22)</f>
        <v>22.666666666666668</v>
      </c>
      <c r="AH22" s="4">
        <f>AG22*G22</f>
        <v>657.3333333333334</v>
      </c>
      <c r="AI22" t="n">
        <v>1</v>
      </c>
      <c r="AJ22">
        <f>5.4*11.6/25</f>
        <v>2.5056</v>
      </c>
      <c r="AK22" s="5">
        <f>(AH22)*1000/AJ22*AI22</f>
        <v>262345.67901234573</v>
      </c>
      <c r="AL22" s="3">
        <f>100*ABS(AH22-AH24)/AVERAGE(AH22,AH24)</f>
        <v>5.4768649669499645</v>
      </c>
      <c r="AM22" s="4">
        <f>AVERAGE(AH22,AH24)</f>
        <v>639.8125</v>
      </c>
      <c r="AN22" s="3" t="e">
        <f>AM22-#REF!</f>
        <v>#REF!</v>
      </c>
      <c r="AO22" s="3">
        <f>100*AM22/1500</f>
        <v>42.65416666666667</v>
      </c>
      <c r="AP22" t="e">
        <f>100*AN22/1000</f>
        <v>#REF!</v>
      </c>
      <c r="AQ22" s="4" t="e">
        <f>AH22-#REF!</f>
        <v>#REF!</v>
      </c>
    </row>
    <row r="23">
      <c r="B23" t="inlineStr">
        <is>
          <t>Clade B</t>
        </is>
      </c>
      <c r="C23" t="inlineStr">
        <is>
          <t>S04</t>
        </is>
      </c>
      <c r="D23" t="inlineStr">
        <is>
          <t>B</t>
        </is>
      </c>
      <c r="F23">
        <f>SUM(H24:AE24)</f>
        <v>515</v>
      </c>
      <c r="H23" t="inlineStr">
        <is>
          <t>Field-1</t>
        </is>
      </c>
      <c r="I23" t="inlineStr">
        <is>
          <t>Field-2</t>
        </is>
      </c>
      <c r="J23" t="inlineStr">
        <is>
          <t>Field-3</t>
        </is>
      </c>
      <c r="K23" t="inlineStr">
        <is>
          <t>Field-4</t>
        </is>
      </c>
      <c r="L23" t="inlineStr">
        <is>
          <t>Field-5</t>
        </is>
      </c>
      <c r="M23" t="inlineStr">
        <is>
          <t>Field-6</t>
        </is>
      </c>
      <c r="N23" t="inlineStr">
        <is>
          <t>Field-7</t>
        </is>
      </c>
      <c r="O23" t="inlineStr">
        <is>
          <t>Field-8</t>
        </is>
      </c>
      <c r="P23" t="inlineStr">
        <is>
          <t>Field-9</t>
        </is>
      </c>
      <c r="Q23" t="inlineStr">
        <is>
          <t>Field-10</t>
        </is>
      </c>
      <c r="R23" t="inlineStr">
        <is>
          <t>Field-11</t>
        </is>
      </c>
      <c r="S23" t="inlineStr">
        <is>
          <t>Field-12</t>
        </is>
      </c>
      <c r="T23" t="inlineStr">
        <is>
          <t>Field-13</t>
        </is>
      </c>
      <c r="U23" t="inlineStr">
        <is>
          <t>Field-14</t>
        </is>
      </c>
      <c r="V23" t="inlineStr">
        <is>
          <t>Field-15</t>
        </is>
      </c>
      <c r="W23" t="inlineStr">
        <is>
          <t>Field-16</t>
        </is>
      </c>
      <c r="X23" t="inlineStr">
        <is>
          <t>Field-17</t>
        </is>
      </c>
      <c r="Y23" t="inlineStr">
        <is>
          <t>Field-18</t>
        </is>
      </c>
      <c r="Z23" t="inlineStr">
        <is>
          <t>Field-19</t>
        </is>
      </c>
      <c r="AA23" t="inlineStr">
        <is>
          <t>Field-20</t>
        </is>
      </c>
      <c r="AB23" t="inlineStr">
        <is>
          <t>Field-21</t>
        </is>
      </c>
      <c r="AC23" t="inlineStr">
        <is>
          <t>Field-22</t>
        </is>
      </c>
      <c r="AD23" t="inlineStr">
        <is>
          <t>Field-23</t>
        </is>
      </c>
      <c r="AE23" t="inlineStr">
        <is>
          <t>Field-24</t>
        </is>
      </c>
    </row>
    <row r="24">
      <c r="G24" s="3" t="n">
        <v>29</v>
      </c>
      <c r="H24" t="n">
        <v>15</v>
      </c>
      <c r="I24" t="n">
        <v>17</v>
      </c>
      <c r="J24" t="n">
        <v>16</v>
      </c>
      <c r="K24" t="n">
        <v>25</v>
      </c>
      <c r="L24" t="n">
        <v>19</v>
      </c>
      <c r="M24" t="n">
        <v>16</v>
      </c>
      <c r="N24" t="n">
        <v>25</v>
      </c>
      <c r="O24" t="n">
        <v>26</v>
      </c>
      <c r="P24" t="n">
        <v>22</v>
      </c>
      <c r="Q24" t="n">
        <v>18</v>
      </c>
      <c r="R24" t="n">
        <v>22</v>
      </c>
      <c r="S24" t="n">
        <v>21</v>
      </c>
      <c r="T24" t="n">
        <v>28</v>
      </c>
      <c r="U24" t="n">
        <v>25</v>
      </c>
      <c r="V24" t="n">
        <v>23</v>
      </c>
      <c r="W24" t="n">
        <v>19</v>
      </c>
      <c r="X24" t="n">
        <v>31</v>
      </c>
      <c r="Y24" t="n">
        <v>27</v>
      </c>
      <c r="Z24" t="n">
        <v>15</v>
      </c>
      <c r="AA24" t="n">
        <v>19</v>
      </c>
      <c r="AB24" t="n">
        <v>30</v>
      </c>
      <c r="AC24" t="n">
        <v>23</v>
      </c>
      <c r="AD24" t="n">
        <v>18</v>
      </c>
      <c r="AE24" t="n">
        <v>15</v>
      </c>
      <c r="AG24" s="3">
        <f>AVERAGE(H24:AE24)</f>
        <v>21.458333333333332</v>
      </c>
      <c r="AH24" s="4">
        <f>AG24*G24</f>
        <v>622.2916666666666</v>
      </c>
      <c r="AI24" t="n">
        <v>1</v>
      </c>
      <c r="AJ24">
        <f>5.4*11.6/25</f>
        <v>2.5056</v>
      </c>
      <c r="AK24" s="5">
        <f>(AH24)*1000/AJ24*AI24</f>
        <v>248360.33950617284</v>
      </c>
      <c r="AL24" s="3" t="n"/>
      <c r="AM24" s="4" t="e">
        <f>AVERAGE(AH24,#REF!)</f>
        <v>#REF!</v>
      </c>
      <c r="AN24" s="3" t="e">
        <f>AM24-#REF!</f>
        <v>#REF!</v>
      </c>
      <c r="AO24" s="3" t="e">
        <f>100*AM24/1500</f>
        <v>#REF!</v>
      </c>
      <c r="AP24" t="e">
        <f>100*AN24/1000</f>
        <v>#REF!</v>
      </c>
      <c r="AQ24" s="4" t="e">
        <f>AH24-#REF!</f>
        <v>#REF!</v>
      </c>
    </row>
    <row r="26">
      <c r="C26" t="inlineStr">
        <is>
          <t>03-03-2026</t>
        </is>
      </c>
      <c r="D26" t="inlineStr">
        <is>
          <t>A</t>
        </is>
      </c>
      <c r="F26">
        <f>SUM(H27:AE27)</f>
        <v>199</v>
      </c>
      <c r="H26" t="inlineStr">
        <is>
          <t>Field-1</t>
        </is>
      </c>
      <c r="I26" t="inlineStr">
        <is>
          <t>Field-2</t>
        </is>
      </c>
      <c r="J26" t="inlineStr">
        <is>
          <t>Field-3</t>
        </is>
      </c>
      <c r="K26" t="inlineStr">
        <is>
          <t>Field-4</t>
        </is>
      </c>
      <c r="L26" t="inlineStr">
        <is>
          <t>Field-5</t>
        </is>
      </c>
      <c r="M26" t="inlineStr">
        <is>
          <t>Field-6</t>
        </is>
      </c>
      <c r="N26" t="inlineStr">
        <is>
          <t>Field-7</t>
        </is>
      </c>
      <c r="O26" t="inlineStr">
        <is>
          <t>Field-8</t>
        </is>
      </c>
      <c r="P26" t="inlineStr">
        <is>
          <t>Field-9</t>
        </is>
      </c>
      <c r="Q26" t="inlineStr">
        <is>
          <t>Field-10</t>
        </is>
      </c>
      <c r="R26" t="inlineStr">
        <is>
          <t>Field-11</t>
        </is>
      </c>
      <c r="S26" t="inlineStr">
        <is>
          <t>Field-12</t>
        </is>
      </c>
      <c r="T26" t="inlineStr">
        <is>
          <t>Field-13</t>
        </is>
      </c>
      <c r="U26" t="inlineStr">
        <is>
          <t>Field-14</t>
        </is>
      </c>
      <c r="V26" t="inlineStr">
        <is>
          <t>Field-15</t>
        </is>
      </c>
      <c r="W26" t="inlineStr">
        <is>
          <t>Field-16</t>
        </is>
      </c>
      <c r="X26" t="inlineStr">
        <is>
          <t>Field-17</t>
        </is>
      </c>
      <c r="Y26" t="inlineStr">
        <is>
          <t>Field-18</t>
        </is>
      </c>
      <c r="Z26" t="inlineStr">
        <is>
          <t>Field-19</t>
        </is>
      </c>
      <c r="AA26" t="inlineStr">
        <is>
          <t>Field-20</t>
        </is>
      </c>
      <c r="AB26" t="inlineStr">
        <is>
          <t>Field-21</t>
        </is>
      </c>
      <c r="AC26" t="inlineStr">
        <is>
          <t>Field-22</t>
        </is>
      </c>
      <c r="AD26" t="inlineStr">
        <is>
          <t>Field-23</t>
        </is>
      </c>
      <c r="AE26" t="inlineStr">
        <is>
          <t>Field-24</t>
        </is>
      </c>
    </row>
    <row r="27">
      <c r="G27" s="3" t="n">
        <v>29</v>
      </c>
      <c r="H27" t="n">
        <v>23</v>
      </c>
      <c r="I27" t="n">
        <v>17</v>
      </c>
      <c r="J27" t="n">
        <v>13</v>
      </c>
      <c r="K27" t="n">
        <v>17</v>
      </c>
      <c r="L27" t="n">
        <v>14</v>
      </c>
      <c r="M27" t="n">
        <v>23</v>
      </c>
      <c r="N27" t="n">
        <v>21</v>
      </c>
      <c r="O27" t="n">
        <v>24</v>
      </c>
      <c r="P27" t="n">
        <v>21</v>
      </c>
      <c r="Q27" t="n">
        <v>13</v>
      </c>
      <c r="R27" t="n">
        <v>13</v>
      </c>
      <c r="AG27" s="3">
        <f>AVERAGE(H27:AE27)</f>
        <v>18.09090909090909</v>
      </c>
      <c r="AH27" s="4">
        <f>AG27*G27</f>
        <v>524.6363636363636</v>
      </c>
      <c r="AI27" t="n">
        <v>1</v>
      </c>
      <c r="AJ27">
        <f>5.4*11.6/25</f>
        <v>2.5056</v>
      </c>
      <c r="AK27" s="5">
        <f>(AH27)*1000/AJ27*AI27</f>
        <v>209385.5218855219</v>
      </c>
      <c r="AL27" s="3">
        <f>100*ABS(AH27-AH29)/AVERAGE(AH27,AH29)</f>
        <v>9.468085106382992</v>
      </c>
      <c r="AM27" s="4">
        <f>AVERAGE(AH27,AH29)</f>
        <v>550.7070707070707</v>
      </c>
      <c r="AN27" s="3" t="e">
        <f>AM27-#REF!</f>
        <v>#REF!</v>
      </c>
      <c r="AO27" s="3">
        <f>100*AM27/1500</f>
        <v>36.71380471380471</v>
      </c>
      <c r="AP27" t="e">
        <f>100*AN27/1000</f>
        <v>#REF!</v>
      </c>
      <c r="AQ27" s="4" t="e">
        <f>AH27-#REF!</f>
        <v>#REF!</v>
      </c>
    </row>
    <row r="28">
      <c r="B28" t="inlineStr">
        <is>
          <t>Clade B</t>
        </is>
      </c>
      <c r="C28" t="inlineStr">
        <is>
          <t>S05</t>
        </is>
      </c>
      <c r="D28" t="inlineStr">
        <is>
          <t>B</t>
        </is>
      </c>
      <c r="F28">
        <f>SUM(H29:AE29)</f>
        <v>179</v>
      </c>
      <c r="H28" t="inlineStr">
        <is>
          <t>Field-1</t>
        </is>
      </c>
      <c r="I28" t="inlineStr">
        <is>
          <t>Field-2</t>
        </is>
      </c>
      <c r="J28" t="inlineStr">
        <is>
          <t>Field-3</t>
        </is>
      </c>
      <c r="K28" t="inlineStr">
        <is>
          <t>Field-4</t>
        </is>
      </c>
      <c r="L28" t="inlineStr">
        <is>
          <t>Field-5</t>
        </is>
      </c>
      <c r="M28" t="inlineStr">
        <is>
          <t>Field-6</t>
        </is>
      </c>
      <c r="N28" t="inlineStr">
        <is>
          <t>Field-7</t>
        </is>
      </c>
      <c r="O28" t="inlineStr">
        <is>
          <t>Field-8</t>
        </is>
      </c>
      <c r="P28" t="inlineStr">
        <is>
          <t>Field-9</t>
        </is>
      </c>
      <c r="Q28" t="inlineStr">
        <is>
          <t>Field-10</t>
        </is>
      </c>
      <c r="R28" t="inlineStr">
        <is>
          <t>Field-11</t>
        </is>
      </c>
      <c r="S28" t="inlineStr">
        <is>
          <t>Field-12</t>
        </is>
      </c>
      <c r="T28" t="inlineStr">
        <is>
          <t>Field-13</t>
        </is>
      </c>
      <c r="U28" t="inlineStr">
        <is>
          <t>Field-14</t>
        </is>
      </c>
      <c r="V28" t="inlineStr">
        <is>
          <t>Field-15</t>
        </is>
      </c>
      <c r="W28" t="inlineStr">
        <is>
          <t>Field-16</t>
        </is>
      </c>
      <c r="X28" t="inlineStr">
        <is>
          <t>Field-17</t>
        </is>
      </c>
      <c r="Y28" t="inlineStr">
        <is>
          <t>Field-18</t>
        </is>
      </c>
      <c r="Z28" t="inlineStr">
        <is>
          <t>Field-19</t>
        </is>
      </c>
      <c r="AA28" t="inlineStr">
        <is>
          <t>Field-20</t>
        </is>
      </c>
      <c r="AB28" t="inlineStr">
        <is>
          <t>Field-21</t>
        </is>
      </c>
      <c r="AC28" t="inlineStr">
        <is>
          <t>Field-22</t>
        </is>
      </c>
      <c r="AD28" t="inlineStr">
        <is>
          <t>Field-23</t>
        </is>
      </c>
      <c r="AE28" t="inlineStr">
        <is>
          <t>Field-24</t>
        </is>
      </c>
    </row>
    <row r="29">
      <c r="G29" s="3" t="n">
        <v>29</v>
      </c>
      <c r="H29" t="n">
        <v>15</v>
      </c>
      <c r="I29" t="n">
        <v>26</v>
      </c>
      <c r="J29" t="n">
        <v>25</v>
      </c>
      <c r="K29" t="n">
        <v>24</v>
      </c>
      <c r="L29" t="n">
        <v>17</v>
      </c>
      <c r="M29" t="n">
        <v>22</v>
      </c>
      <c r="N29" t="n">
        <v>14</v>
      </c>
      <c r="O29" t="n">
        <v>20</v>
      </c>
      <c r="P29" t="n">
        <v>16</v>
      </c>
      <c r="AG29" s="3">
        <f>AVERAGE(H29:AE29)</f>
        <v>19.88888888888889</v>
      </c>
      <c r="AH29" s="4">
        <f>AG29*G29</f>
        <v>576.7777777777778</v>
      </c>
      <c r="AI29" t="n">
        <v>1</v>
      </c>
      <c r="AJ29">
        <f>5.4*11.6/25</f>
        <v>2.5056</v>
      </c>
      <c r="AK29" s="5">
        <f>(AH29)*1000/AJ29*AI29</f>
        <v>230195.47325102886</v>
      </c>
      <c r="AL29" s="3" t="n"/>
      <c r="AM29" s="4" t="e">
        <f>AVERAGE(AH29,#REF!)</f>
        <v>#REF!</v>
      </c>
      <c r="AN29" s="3" t="e">
        <f>AM29-#REF!</f>
        <v>#REF!</v>
      </c>
      <c r="AO29" s="3" t="e">
        <f>100*AM29/1500</f>
        <v>#REF!</v>
      </c>
      <c r="AP29" t="e">
        <f>100*AN29/1000</f>
        <v>#REF!</v>
      </c>
      <c r="AQ29" s="4" t="e">
        <f>AH29-#REF!</f>
        <v>#REF!</v>
      </c>
    </row>
    <row r="31">
      <c r="C31" t="inlineStr">
        <is>
          <t>03-03-2026</t>
        </is>
      </c>
      <c r="D31" t="inlineStr">
        <is>
          <t>A</t>
        </is>
      </c>
      <c r="E31" t="n">
        <v>1</v>
      </c>
      <c r="F31">
        <f>SUM(H32:AE32)</f>
        <v>690</v>
      </c>
      <c r="H31" t="inlineStr">
        <is>
          <t>Field-1</t>
        </is>
      </c>
      <c r="I31" t="inlineStr">
        <is>
          <t>Field-2</t>
        </is>
      </c>
      <c r="J31" t="inlineStr">
        <is>
          <t>Field-3</t>
        </is>
      </c>
      <c r="K31" t="inlineStr">
        <is>
          <t>Field-4</t>
        </is>
      </c>
      <c r="L31" t="inlineStr">
        <is>
          <t>Field-5</t>
        </is>
      </c>
      <c r="M31" t="inlineStr">
        <is>
          <t>Field-6</t>
        </is>
      </c>
      <c r="N31" t="inlineStr">
        <is>
          <t>Field-7</t>
        </is>
      </c>
      <c r="O31" t="inlineStr">
        <is>
          <t>Field-8</t>
        </is>
      </c>
      <c r="P31" t="inlineStr">
        <is>
          <t>Field-9</t>
        </is>
      </c>
      <c r="Q31" t="inlineStr">
        <is>
          <t>Field-10</t>
        </is>
      </c>
      <c r="R31" t="inlineStr">
        <is>
          <t>Field-11</t>
        </is>
      </c>
      <c r="S31" t="inlineStr">
        <is>
          <t>Field-12</t>
        </is>
      </c>
      <c r="T31" t="inlineStr">
        <is>
          <t>Field-13</t>
        </is>
      </c>
      <c r="U31" t="inlineStr">
        <is>
          <t>Field-14</t>
        </is>
      </c>
      <c r="V31" t="inlineStr">
        <is>
          <t>Field-15</t>
        </is>
      </c>
      <c r="W31" t="inlineStr">
        <is>
          <t>Field-16</t>
        </is>
      </c>
      <c r="X31" t="inlineStr">
        <is>
          <t>Field-17</t>
        </is>
      </c>
      <c r="Y31" t="inlineStr">
        <is>
          <t>Field-18</t>
        </is>
      </c>
      <c r="Z31" t="inlineStr">
        <is>
          <t>Field-19</t>
        </is>
      </c>
      <c r="AA31" t="inlineStr">
        <is>
          <t>Field-20</t>
        </is>
      </c>
      <c r="AB31" t="inlineStr">
        <is>
          <t>Field-21</t>
        </is>
      </c>
      <c r="AC31" t="inlineStr">
        <is>
          <t>Field-22</t>
        </is>
      </c>
      <c r="AD31" t="inlineStr">
        <is>
          <t>Field-23</t>
        </is>
      </c>
      <c r="AE31" t="inlineStr">
        <is>
          <t>Field-24</t>
        </is>
      </c>
    </row>
    <row r="32">
      <c r="G32" s="3" t="n">
        <v>29</v>
      </c>
      <c r="H32" t="n">
        <v>35</v>
      </c>
      <c r="I32" t="n">
        <v>33</v>
      </c>
      <c r="J32" t="n">
        <v>38</v>
      </c>
      <c r="K32" t="n">
        <v>42</v>
      </c>
      <c r="L32" t="n">
        <v>27</v>
      </c>
      <c r="M32" t="n">
        <v>37</v>
      </c>
      <c r="N32" t="n">
        <v>33</v>
      </c>
      <c r="O32" t="n">
        <v>28</v>
      </c>
      <c r="P32" t="n">
        <v>37</v>
      </c>
      <c r="Q32" t="n">
        <v>38</v>
      </c>
      <c r="R32" t="n">
        <v>42</v>
      </c>
      <c r="S32" t="n">
        <v>30</v>
      </c>
      <c r="T32" t="n">
        <v>34</v>
      </c>
      <c r="U32" t="n">
        <v>30</v>
      </c>
      <c r="V32" t="n">
        <v>33</v>
      </c>
      <c r="W32" t="n">
        <v>33</v>
      </c>
      <c r="X32" t="n">
        <v>42</v>
      </c>
      <c r="Y32" t="n">
        <v>39</v>
      </c>
      <c r="Z32" t="n">
        <v>31</v>
      </c>
      <c r="AA32" t="n">
        <v>28</v>
      </c>
      <c r="AG32" s="3">
        <f>AVERAGE(H32:AE32)</f>
        <v>34.5</v>
      </c>
      <c r="AH32" s="4">
        <f>AG32*G32</f>
        <v>1000.5</v>
      </c>
      <c r="AI32" t="n">
        <v>1</v>
      </c>
      <c r="AJ32">
        <f>5.4*11.6/25</f>
        <v>2.5056</v>
      </c>
      <c r="AK32" s="5">
        <f>(AH32)*1000/AJ32*AI32</f>
        <v>399305.55555555556</v>
      </c>
      <c r="AL32" s="3">
        <f>100*ABS(AH32-AH34)/AVERAGE(AH32,AH34)</f>
        <v>5.052005943536412</v>
      </c>
      <c r="AM32" s="4">
        <f>AVERAGE(AH32,AH34)</f>
        <v>975.8499999999999</v>
      </c>
      <c r="AN32" s="3" t="e">
        <f>AM32-#REF!</f>
        <v>#REF!</v>
      </c>
      <c r="AO32" s="3">
        <f>100*AM32/1500</f>
        <v>65.05666666666666</v>
      </c>
      <c r="AP32" t="e">
        <f>100*AN32/1000</f>
        <v>#REF!</v>
      </c>
      <c r="AQ32" s="4" t="e">
        <f>AH32-#REF!</f>
        <v>#REF!</v>
      </c>
    </row>
    <row r="33">
      <c r="B33" t="inlineStr">
        <is>
          <t>Clade B</t>
        </is>
      </c>
      <c r="C33" t="inlineStr">
        <is>
          <t>S06</t>
        </is>
      </c>
      <c r="D33" t="inlineStr">
        <is>
          <t>B</t>
        </is>
      </c>
      <c r="F33">
        <f>SUM(H34:AE34)</f>
        <v>328</v>
      </c>
      <c r="H33" t="inlineStr">
        <is>
          <t>Field-1</t>
        </is>
      </c>
      <c r="I33" t="inlineStr">
        <is>
          <t>Field-2</t>
        </is>
      </c>
      <c r="J33" t="inlineStr">
        <is>
          <t>Field-3</t>
        </is>
      </c>
      <c r="K33" t="inlineStr">
        <is>
          <t>Field-4</t>
        </is>
      </c>
      <c r="L33" t="inlineStr">
        <is>
          <t>Field-5</t>
        </is>
      </c>
      <c r="M33" t="inlineStr">
        <is>
          <t>Field-6</t>
        </is>
      </c>
      <c r="N33" t="inlineStr">
        <is>
          <t>Field-7</t>
        </is>
      </c>
      <c r="O33" t="inlineStr">
        <is>
          <t>Field-8</t>
        </is>
      </c>
      <c r="P33" t="inlineStr">
        <is>
          <t>Field-9</t>
        </is>
      </c>
      <c r="Q33" t="inlineStr">
        <is>
          <t>Field-10</t>
        </is>
      </c>
      <c r="R33" t="inlineStr">
        <is>
          <t>Field-11</t>
        </is>
      </c>
      <c r="S33" t="inlineStr">
        <is>
          <t>Field-12</t>
        </is>
      </c>
      <c r="T33" t="inlineStr">
        <is>
          <t>Field-13</t>
        </is>
      </c>
      <c r="U33" t="inlineStr">
        <is>
          <t>Field-14</t>
        </is>
      </c>
      <c r="V33" t="inlineStr">
        <is>
          <t>Field-15</t>
        </is>
      </c>
      <c r="W33" t="inlineStr">
        <is>
          <t>Field-16</t>
        </is>
      </c>
      <c r="X33" t="inlineStr">
        <is>
          <t>Field-17</t>
        </is>
      </c>
      <c r="Y33" t="inlineStr">
        <is>
          <t>Field-18</t>
        </is>
      </c>
      <c r="Z33" t="inlineStr">
        <is>
          <t>Field-19</t>
        </is>
      </c>
      <c r="AA33" t="inlineStr">
        <is>
          <t>Field-20</t>
        </is>
      </c>
      <c r="AB33" t="inlineStr">
        <is>
          <t>Field-21</t>
        </is>
      </c>
      <c r="AC33" t="inlineStr">
        <is>
          <t>Field-22</t>
        </is>
      </c>
      <c r="AD33" t="inlineStr">
        <is>
          <t>Field-23</t>
        </is>
      </c>
      <c r="AE33" t="inlineStr">
        <is>
          <t>Field-24</t>
        </is>
      </c>
    </row>
    <row r="34">
      <c r="G34" s="3" t="n">
        <v>29</v>
      </c>
      <c r="H34" t="n">
        <v>36</v>
      </c>
      <c r="I34" t="n">
        <v>29</v>
      </c>
      <c r="J34" t="n">
        <v>30</v>
      </c>
      <c r="K34" t="n">
        <v>35</v>
      </c>
      <c r="L34" t="n">
        <v>35</v>
      </c>
      <c r="M34" t="n">
        <v>37</v>
      </c>
      <c r="N34" t="n">
        <v>39</v>
      </c>
      <c r="O34" t="n">
        <v>29</v>
      </c>
      <c r="P34" t="n">
        <v>28</v>
      </c>
      <c r="Q34" t="n">
        <v>30</v>
      </c>
      <c r="AG34" s="3">
        <f>AVERAGE(H34:AE34)</f>
        <v>32.8</v>
      </c>
      <c r="AH34" s="4">
        <f>AG34*G34</f>
        <v>951.1999999999999</v>
      </c>
      <c r="AI34" t="n">
        <v>1</v>
      </c>
      <c r="AJ34">
        <f>5.4*11.6/25</f>
        <v>2.5056</v>
      </c>
      <c r="AK34" s="5">
        <f>(AH34)*1000/AJ34*AI34</f>
        <v>379629.6296296296</v>
      </c>
      <c r="AL34" s="3" t="n"/>
      <c r="AM34" s="4" t="e">
        <f>AVERAGE(AH34,#REF!)</f>
        <v>#REF!</v>
      </c>
      <c r="AN34" s="3" t="e">
        <f>AM34-#REF!</f>
        <v>#REF!</v>
      </c>
      <c r="AO34" s="3" t="e">
        <f>100*AM34/1500</f>
        <v>#REF!</v>
      </c>
      <c r="AP34" t="e">
        <f>100*AN34/1000</f>
        <v>#REF!</v>
      </c>
      <c r="AQ34" s="4" t="e">
        <f>AH34-#REF!</f>
        <v>#REF!</v>
      </c>
    </row>
    <row r="36">
      <c r="C36" t="inlineStr">
        <is>
          <t>03-03-2026</t>
        </is>
      </c>
      <c r="D36" t="inlineStr">
        <is>
          <t>A</t>
        </is>
      </c>
      <c r="F36">
        <f>SUM(H37:AE37)</f>
        <v>474</v>
      </c>
      <c r="H36" t="inlineStr">
        <is>
          <t>Field-1</t>
        </is>
      </c>
      <c r="I36" t="inlineStr">
        <is>
          <t>Field-2</t>
        </is>
      </c>
      <c r="J36" t="inlineStr">
        <is>
          <t>Field-3</t>
        </is>
      </c>
      <c r="K36" t="inlineStr">
        <is>
          <t>Field-4</t>
        </is>
      </c>
      <c r="L36" t="inlineStr">
        <is>
          <t>Field-5</t>
        </is>
      </c>
      <c r="M36" t="inlineStr">
        <is>
          <t>Field-6</t>
        </is>
      </c>
      <c r="N36" t="inlineStr">
        <is>
          <t>Field-7</t>
        </is>
      </c>
      <c r="O36" t="inlineStr">
        <is>
          <t>Field-8</t>
        </is>
      </c>
      <c r="P36" t="inlineStr">
        <is>
          <t>Field-9</t>
        </is>
      </c>
      <c r="Q36" t="inlineStr">
        <is>
          <t>Field-10</t>
        </is>
      </c>
      <c r="R36" t="inlineStr">
        <is>
          <t>Field-11</t>
        </is>
      </c>
      <c r="S36" t="inlineStr">
        <is>
          <t>Field-12</t>
        </is>
      </c>
      <c r="T36" t="inlineStr">
        <is>
          <t>Field-13</t>
        </is>
      </c>
      <c r="U36" t="inlineStr">
        <is>
          <t>Field-14</t>
        </is>
      </c>
      <c r="V36" t="inlineStr">
        <is>
          <t>Field-15</t>
        </is>
      </c>
      <c r="W36" t="inlineStr">
        <is>
          <t>Field-16</t>
        </is>
      </c>
      <c r="X36" t="inlineStr">
        <is>
          <t>Field-17</t>
        </is>
      </c>
      <c r="Y36" t="inlineStr">
        <is>
          <t>Field-18</t>
        </is>
      </c>
      <c r="Z36" t="inlineStr">
        <is>
          <t>Field-19</t>
        </is>
      </c>
      <c r="AA36" t="inlineStr">
        <is>
          <t>Field-20</t>
        </is>
      </c>
      <c r="AB36" t="inlineStr">
        <is>
          <t>Field-21</t>
        </is>
      </c>
      <c r="AC36" t="inlineStr">
        <is>
          <t>Field-22</t>
        </is>
      </c>
      <c r="AD36" t="inlineStr">
        <is>
          <t>Field-23</t>
        </is>
      </c>
      <c r="AE36" t="inlineStr">
        <is>
          <t>Field-24</t>
        </is>
      </c>
    </row>
    <row r="37">
      <c r="G37" s="3" t="n">
        <v>29</v>
      </c>
      <c r="H37" t="n">
        <v>33</v>
      </c>
      <c r="I37" t="n">
        <v>27</v>
      </c>
      <c r="J37" t="n">
        <v>28</v>
      </c>
      <c r="K37" t="n">
        <v>36</v>
      </c>
      <c r="L37" t="n">
        <v>30</v>
      </c>
      <c r="M37" t="n">
        <v>32</v>
      </c>
      <c r="N37" t="n">
        <v>32</v>
      </c>
      <c r="O37" t="n">
        <v>40</v>
      </c>
      <c r="P37" t="n">
        <v>37</v>
      </c>
      <c r="Q37" t="n">
        <v>32</v>
      </c>
      <c r="R37" t="n">
        <v>35</v>
      </c>
      <c r="S37" t="n">
        <v>38</v>
      </c>
      <c r="T37" t="n">
        <v>39</v>
      </c>
      <c r="U37" t="n">
        <v>35</v>
      </c>
      <c r="AG37" s="3">
        <f>AVERAGE(H37:AE37)</f>
        <v>33.857142857142854</v>
      </c>
      <c r="AH37" s="4">
        <f>AG37*G37</f>
        <v>981.8571428571428</v>
      </c>
      <c r="AI37" t="n">
        <v>1</v>
      </c>
      <c r="AJ37">
        <f>5.4*11.6/25</f>
        <v>2.5056</v>
      </c>
      <c r="AK37" s="5">
        <f>(AH37)*1000/AJ37*AI37</f>
        <v>391865.07936507935</v>
      </c>
      <c r="AL37" s="3">
        <f>100*ABS(AH37-AH39)/AVERAGE(AH37,AH39)</f>
        <v>1.7021276595744665</v>
      </c>
      <c r="AM37" s="4">
        <f>AVERAGE(AH37,AH39)</f>
        <v>973.5714285714284</v>
      </c>
      <c r="AN37" s="3" t="e">
        <f>AM37-#REF!</f>
        <v>#REF!</v>
      </c>
      <c r="AO37" s="3">
        <f>100*AM37/1500</f>
        <v>64.9047619047619</v>
      </c>
      <c r="AP37" t="e">
        <f>100*AN37/1000</f>
        <v>#REF!</v>
      </c>
      <c r="AQ37" s="4" t="e">
        <f>AH37-#REF!</f>
        <v>#REF!</v>
      </c>
    </row>
    <row r="38">
      <c r="B38" t="inlineStr">
        <is>
          <t>Clade B</t>
        </is>
      </c>
      <c r="C38" t="inlineStr">
        <is>
          <t>S07</t>
        </is>
      </c>
      <c r="D38" t="inlineStr">
        <is>
          <t>B</t>
        </is>
      </c>
      <c r="F38">
        <f>SUM(H39:AE39)</f>
        <v>699</v>
      </c>
      <c r="H38" t="inlineStr">
        <is>
          <t>Field-1</t>
        </is>
      </c>
      <c r="I38" t="inlineStr">
        <is>
          <t>Field-2</t>
        </is>
      </c>
      <c r="J38" t="inlineStr">
        <is>
          <t>Field-3</t>
        </is>
      </c>
      <c r="K38" t="inlineStr">
        <is>
          <t>Field-4</t>
        </is>
      </c>
      <c r="L38" t="inlineStr">
        <is>
          <t>Field-5</t>
        </is>
      </c>
      <c r="M38" t="inlineStr">
        <is>
          <t>Field-6</t>
        </is>
      </c>
      <c r="N38" t="inlineStr">
        <is>
          <t>Field-7</t>
        </is>
      </c>
      <c r="O38" t="inlineStr">
        <is>
          <t>Field-8</t>
        </is>
      </c>
      <c r="P38" t="inlineStr">
        <is>
          <t>Field-9</t>
        </is>
      </c>
      <c r="Q38" t="inlineStr">
        <is>
          <t>Field-10</t>
        </is>
      </c>
      <c r="R38" t="inlineStr">
        <is>
          <t>Field-11</t>
        </is>
      </c>
      <c r="S38" t="inlineStr">
        <is>
          <t>Field-12</t>
        </is>
      </c>
      <c r="T38" t="inlineStr">
        <is>
          <t>Field-13</t>
        </is>
      </c>
      <c r="U38" t="inlineStr">
        <is>
          <t>Field-14</t>
        </is>
      </c>
      <c r="V38" t="inlineStr">
        <is>
          <t>Field-15</t>
        </is>
      </c>
      <c r="W38" t="inlineStr">
        <is>
          <t>Field-16</t>
        </is>
      </c>
      <c r="X38" t="inlineStr">
        <is>
          <t>Field-17</t>
        </is>
      </c>
      <c r="Y38" t="inlineStr">
        <is>
          <t>Field-18</t>
        </is>
      </c>
      <c r="Z38" t="inlineStr">
        <is>
          <t>Field-19</t>
        </is>
      </c>
      <c r="AA38" t="inlineStr">
        <is>
          <t>Field-20</t>
        </is>
      </c>
      <c r="AB38" t="inlineStr">
        <is>
          <t>Field-21</t>
        </is>
      </c>
      <c r="AC38" t="inlineStr">
        <is>
          <t>Field-22</t>
        </is>
      </c>
      <c r="AD38" t="inlineStr">
        <is>
          <t>Field-23</t>
        </is>
      </c>
      <c r="AE38" t="inlineStr">
        <is>
          <t>Field-24</t>
        </is>
      </c>
    </row>
    <row r="39">
      <c r="G39" s="3" t="n">
        <v>29</v>
      </c>
      <c r="H39" t="n">
        <v>26</v>
      </c>
      <c r="I39" t="n">
        <v>26</v>
      </c>
      <c r="J39" t="n">
        <v>34</v>
      </c>
      <c r="K39" t="n">
        <v>33</v>
      </c>
      <c r="M39" t="n">
        <v>31</v>
      </c>
      <c r="N39" t="n">
        <v>30</v>
      </c>
      <c r="O39" t="n">
        <v>33</v>
      </c>
      <c r="P39" t="n">
        <v>27</v>
      </c>
      <c r="Q39" t="n">
        <v>36</v>
      </c>
      <c r="R39" t="n">
        <v>36</v>
      </c>
      <c r="S39" t="n">
        <v>28</v>
      </c>
      <c r="T39" t="n">
        <v>41</v>
      </c>
      <c r="U39" t="n">
        <v>41</v>
      </c>
      <c r="V39" t="n">
        <v>38</v>
      </c>
      <c r="W39" t="n">
        <v>35</v>
      </c>
      <c r="X39" t="n">
        <v>35</v>
      </c>
      <c r="Y39" t="n">
        <v>33</v>
      </c>
      <c r="Z39" t="n">
        <v>30</v>
      </c>
      <c r="AA39" t="n">
        <v>38</v>
      </c>
      <c r="AB39" t="n">
        <v>27</v>
      </c>
      <c r="AC39" t="n">
        <v>41</v>
      </c>
      <c r="AG39" s="3">
        <f>AVERAGE(H39:AE39)</f>
        <v>33.285714285714285</v>
      </c>
      <c r="AH39" s="4">
        <f>AG39*G39</f>
        <v>965.2857142857142</v>
      </c>
      <c r="AI39" t="n">
        <v>1</v>
      </c>
      <c r="AJ39">
        <f>5.4*11.6/25</f>
        <v>2.5056</v>
      </c>
      <c r="AK39" s="5">
        <f>(AH39)*1000/AJ39*AI39</f>
        <v>385251.32275132276</v>
      </c>
      <c r="AL39" s="3" t="n"/>
      <c r="AM39" s="4" t="e">
        <f>AVERAGE(AH39,#REF!)</f>
        <v>#REF!</v>
      </c>
      <c r="AN39" s="3" t="e">
        <f>AM39-#REF!</f>
        <v>#REF!</v>
      </c>
      <c r="AO39" s="3" t="e">
        <f>100*AM39/1500</f>
        <v>#REF!</v>
      </c>
      <c r="AP39" t="e">
        <f>100*AN39/1000</f>
        <v>#REF!</v>
      </c>
      <c r="AQ39" s="4" t="e">
        <f>AH39-#REF!</f>
        <v>#REF!</v>
      </c>
    </row>
    <row r="41">
      <c r="C41" t="inlineStr">
        <is>
          <t>03-03-2026</t>
        </is>
      </c>
      <c r="D41" t="inlineStr">
        <is>
          <t>A</t>
        </is>
      </c>
      <c r="F41">
        <f>SUM(H42:AE42)</f>
        <v>410</v>
      </c>
      <c r="H41" t="inlineStr">
        <is>
          <t>Field-1</t>
        </is>
      </c>
      <c r="I41" t="inlineStr">
        <is>
          <t>Field-2</t>
        </is>
      </c>
      <c r="J41" t="inlineStr">
        <is>
          <t>Field-3</t>
        </is>
      </c>
      <c r="K41" t="inlineStr">
        <is>
          <t>Field-4</t>
        </is>
      </c>
      <c r="L41" t="inlineStr">
        <is>
          <t>Field-5</t>
        </is>
      </c>
      <c r="M41" t="inlineStr">
        <is>
          <t>Field-6</t>
        </is>
      </c>
      <c r="N41" t="inlineStr">
        <is>
          <t>Field-7</t>
        </is>
      </c>
      <c r="O41" t="inlineStr">
        <is>
          <t>Field-8</t>
        </is>
      </c>
      <c r="P41" t="inlineStr">
        <is>
          <t>Field-9</t>
        </is>
      </c>
      <c r="Q41" t="inlineStr">
        <is>
          <t>Field-10</t>
        </is>
      </c>
      <c r="R41" t="inlineStr">
        <is>
          <t>Field-11</t>
        </is>
      </c>
      <c r="S41" t="inlineStr">
        <is>
          <t>Field-12</t>
        </is>
      </c>
      <c r="T41" t="inlineStr">
        <is>
          <t>Field-13</t>
        </is>
      </c>
      <c r="U41" t="inlineStr">
        <is>
          <t>Field-14</t>
        </is>
      </c>
      <c r="V41" t="inlineStr">
        <is>
          <t>Field-15</t>
        </is>
      </c>
      <c r="W41" t="inlineStr">
        <is>
          <t>Field-16</t>
        </is>
      </c>
      <c r="X41" t="inlineStr">
        <is>
          <t>Field-17</t>
        </is>
      </c>
      <c r="Y41" t="inlineStr">
        <is>
          <t>Field-18</t>
        </is>
      </c>
      <c r="Z41" t="inlineStr">
        <is>
          <t>Field-19</t>
        </is>
      </c>
      <c r="AA41" t="inlineStr">
        <is>
          <t>Field-20</t>
        </is>
      </c>
      <c r="AB41" t="inlineStr">
        <is>
          <t>Field-21</t>
        </is>
      </c>
      <c r="AC41" t="inlineStr">
        <is>
          <t>Field-22</t>
        </is>
      </c>
      <c r="AD41" t="inlineStr">
        <is>
          <t>Field-23</t>
        </is>
      </c>
      <c r="AE41" t="inlineStr">
        <is>
          <t>Field-24</t>
        </is>
      </c>
    </row>
    <row r="42">
      <c r="G42" s="3" t="n">
        <v>29</v>
      </c>
      <c r="H42" t="n">
        <v>19</v>
      </c>
      <c r="I42" t="n">
        <v>32</v>
      </c>
      <c r="J42" t="n">
        <v>31</v>
      </c>
      <c r="K42" t="n">
        <v>33</v>
      </c>
      <c r="L42" t="n">
        <v>32</v>
      </c>
      <c r="M42" t="n">
        <v>24</v>
      </c>
      <c r="N42" t="n">
        <v>20</v>
      </c>
      <c r="O42" t="n">
        <v>20</v>
      </c>
      <c r="P42" t="n">
        <v>26</v>
      </c>
      <c r="Q42" t="n">
        <v>27</v>
      </c>
      <c r="R42" t="n">
        <v>21</v>
      </c>
      <c r="S42" t="n">
        <v>31</v>
      </c>
      <c r="T42" t="n">
        <v>22</v>
      </c>
      <c r="U42" t="n">
        <v>30</v>
      </c>
      <c r="V42" t="n">
        <v>22</v>
      </c>
      <c r="W42" t="n">
        <v>20</v>
      </c>
      <c r="AG42" s="3">
        <f>AVERAGE(H42:AE42)</f>
        <v>25.625</v>
      </c>
      <c r="AH42" s="4">
        <f>AG42*G42</f>
        <v>743.125</v>
      </c>
      <c r="AI42" t="n">
        <v>1</v>
      </c>
      <c r="AJ42">
        <f>5.4*11.6/25</f>
        <v>2.5056</v>
      </c>
      <c r="AK42" s="5">
        <f>(AH42)*1000/AJ42*AI42</f>
        <v>296585.64814814815</v>
      </c>
      <c r="AL42" s="3">
        <f>100*ABS(AH42-AH44)/AVERAGE(AH42,AH44)</f>
        <v>3.357314148681055</v>
      </c>
      <c r="AM42" s="4">
        <f>AVERAGE(AH42,AH44)</f>
        <v>755.8125</v>
      </c>
      <c r="AN42" s="3" t="e">
        <f>AM42-#REF!</f>
        <v>#REF!</v>
      </c>
      <c r="AO42" s="3">
        <f>100*AM42/1500</f>
        <v>50.3875</v>
      </c>
      <c r="AP42" t="e">
        <f>100*AN42/1000</f>
        <v>#REF!</v>
      </c>
      <c r="AQ42" s="4" t="e">
        <f>AH42-#REF!</f>
        <v>#REF!</v>
      </c>
    </row>
    <row r="43">
      <c r="B43" t="inlineStr">
        <is>
          <t>Clade B</t>
        </is>
      </c>
      <c r="C43" t="inlineStr">
        <is>
          <t>S08</t>
        </is>
      </c>
      <c r="D43" t="inlineStr">
        <is>
          <t>B</t>
        </is>
      </c>
      <c r="F43">
        <f>SUM(H44:AE44)</f>
        <v>212</v>
      </c>
      <c r="H43" t="inlineStr">
        <is>
          <t>Field-1</t>
        </is>
      </c>
      <c r="I43" t="inlineStr">
        <is>
          <t>Field-2</t>
        </is>
      </c>
      <c r="J43" t="inlineStr">
        <is>
          <t>Field-3</t>
        </is>
      </c>
      <c r="K43" t="inlineStr">
        <is>
          <t>Field-4</t>
        </is>
      </c>
      <c r="L43" t="inlineStr">
        <is>
          <t>Field-5</t>
        </is>
      </c>
      <c r="M43" t="inlineStr">
        <is>
          <t>Field-6</t>
        </is>
      </c>
      <c r="N43" t="inlineStr">
        <is>
          <t>Field-7</t>
        </is>
      </c>
      <c r="O43" t="inlineStr">
        <is>
          <t>Field-8</t>
        </is>
      </c>
      <c r="P43" t="inlineStr">
        <is>
          <t>Field-9</t>
        </is>
      </c>
      <c r="Q43" t="inlineStr">
        <is>
          <t>Field-10</t>
        </is>
      </c>
      <c r="R43" t="inlineStr">
        <is>
          <t>Field-11</t>
        </is>
      </c>
      <c r="S43" t="inlineStr">
        <is>
          <t>Field-12</t>
        </is>
      </c>
      <c r="T43" t="inlineStr">
        <is>
          <t>Field-13</t>
        </is>
      </c>
      <c r="U43" t="inlineStr">
        <is>
          <t>Field-14</t>
        </is>
      </c>
      <c r="V43" t="inlineStr">
        <is>
          <t>Field-15</t>
        </is>
      </c>
      <c r="W43" t="inlineStr">
        <is>
          <t>Field-16</t>
        </is>
      </c>
      <c r="X43" t="inlineStr">
        <is>
          <t>Field-17</t>
        </is>
      </c>
      <c r="Y43" t="inlineStr">
        <is>
          <t>Field-18</t>
        </is>
      </c>
      <c r="Z43" t="inlineStr">
        <is>
          <t>Field-19</t>
        </is>
      </c>
      <c r="AA43" t="inlineStr">
        <is>
          <t>Field-20</t>
        </is>
      </c>
      <c r="AB43" t="inlineStr">
        <is>
          <t>Field-21</t>
        </is>
      </c>
      <c r="AC43" t="inlineStr">
        <is>
          <t>Field-22</t>
        </is>
      </c>
      <c r="AD43" t="inlineStr">
        <is>
          <t>Field-23</t>
        </is>
      </c>
      <c r="AE43" t="inlineStr">
        <is>
          <t>Field-24</t>
        </is>
      </c>
    </row>
    <row r="44">
      <c r="G44" s="3" t="n">
        <v>29</v>
      </c>
      <c r="H44" t="n">
        <v>33</v>
      </c>
      <c r="I44" t="n">
        <v>18</v>
      </c>
      <c r="J44" t="n">
        <v>19</v>
      </c>
      <c r="K44" t="n">
        <v>33</v>
      </c>
      <c r="L44" t="n">
        <v>31</v>
      </c>
      <c r="M44" t="n">
        <v>18</v>
      </c>
      <c r="N44" t="n">
        <v>32</v>
      </c>
      <c r="O44" t="n">
        <v>28</v>
      </c>
      <c r="AG44" s="3">
        <f>AVERAGE(H44:AE44)</f>
        <v>26.5</v>
      </c>
      <c r="AH44" s="4">
        <f>AG44*G44</f>
        <v>768.5</v>
      </c>
      <c r="AI44" t="n">
        <v>1</v>
      </c>
      <c r="AJ44">
        <f>5.4*11.6/25</f>
        <v>2.5056</v>
      </c>
      <c r="AK44" s="5">
        <f>(AH44)*1000/AJ44*AI44</f>
        <v>306712.962962963</v>
      </c>
      <c r="AL44" s="3" t="n"/>
      <c r="AM44" s="4" t="e">
        <f>AVERAGE(AH44,#REF!)</f>
        <v>#REF!</v>
      </c>
      <c r="AN44" s="3" t="e">
        <f>AM44-#REF!</f>
        <v>#REF!</v>
      </c>
      <c r="AO44" s="3" t="e">
        <f>100*AM44/1500</f>
        <v>#REF!</v>
      </c>
      <c r="AP44" t="e">
        <f>100*AN44/1000</f>
        <v>#REF!</v>
      </c>
      <c r="AQ44" s="4" t="e">
        <f>AH44-#REF!</f>
        <v>#REF!</v>
      </c>
    </row>
    <row r="46">
      <c r="C46" t="inlineStr">
        <is>
          <t>03-03-2026</t>
        </is>
      </c>
      <c r="D46" t="inlineStr">
        <is>
          <t>A</t>
        </is>
      </c>
      <c r="E46" t="n">
        <v>1</v>
      </c>
      <c r="F46">
        <f>SUM(H47:AE47)</f>
        <v>244</v>
      </c>
      <c r="H46" t="inlineStr">
        <is>
          <t>Field-1</t>
        </is>
      </c>
      <c r="I46" t="inlineStr">
        <is>
          <t>Field-2</t>
        </is>
      </c>
      <c r="J46" t="inlineStr">
        <is>
          <t>Field-3</t>
        </is>
      </c>
      <c r="K46" t="inlineStr">
        <is>
          <t>Field-4</t>
        </is>
      </c>
      <c r="L46" t="inlineStr">
        <is>
          <t>Field-5</t>
        </is>
      </c>
      <c r="M46" t="inlineStr">
        <is>
          <t>Field-6</t>
        </is>
      </c>
      <c r="N46" t="inlineStr">
        <is>
          <t>Field-7</t>
        </is>
      </c>
      <c r="O46" t="inlineStr">
        <is>
          <t>Field-8</t>
        </is>
      </c>
      <c r="P46" t="inlineStr">
        <is>
          <t>Field-9</t>
        </is>
      </c>
      <c r="Q46" t="inlineStr">
        <is>
          <t>Field-10</t>
        </is>
      </c>
      <c r="R46" t="inlineStr">
        <is>
          <t>Field-11</t>
        </is>
      </c>
      <c r="S46" t="inlineStr">
        <is>
          <t>Field-12</t>
        </is>
      </c>
      <c r="T46" t="inlineStr">
        <is>
          <t>Field-13</t>
        </is>
      </c>
      <c r="U46" t="inlineStr">
        <is>
          <t>Field-14</t>
        </is>
      </c>
      <c r="V46" t="inlineStr">
        <is>
          <t>Field-15</t>
        </is>
      </c>
      <c r="W46" t="inlineStr">
        <is>
          <t>Field-16</t>
        </is>
      </c>
      <c r="X46" t="inlineStr">
        <is>
          <t>Field-17</t>
        </is>
      </c>
      <c r="Y46" t="inlineStr">
        <is>
          <t>Field-18</t>
        </is>
      </c>
      <c r="Z46" t="inlineStr">
        <is>
          <t>Field-19</t>
        </is>
      </c>
      <c r="AA46" t="inlineStr">
        <is>
          <t>Field-20</t>
        </is>
      </c>
      <c r="AB46" t="inlineStr">
        <is>
          <t>Field-21</t>
        </is>
      </c>
      <c r="AC46" t="inlineStr">
        <is>
          <t>Field-22</t>
        </is>
      </c>
      <c r="AD46" t="inlineStr">
        <is>
          <t>Field-23</t>
        </is>
      </c>
      <c r="AE46" t="inlineStr">
        <is>
          <t>Field-24</t>
        </is>
      </c>
    </row>
    <row r="47">
      <c r="G47" s="3" t="n">
        <v>29</v>
      </c>
      <c r="H47" t="n">
        <v>9</v>
      </c>
      <c r="I47" t="n">
        <v>24</v>
      </c>
      <c r="J47" t="n">
        <v>22</v>
      </c>
      <c r="K47" t="n">
        <v>12</v>
      </c>
      <c r="L47" t="n">
        <v>15</v>
      </c>
      <c r="M47" t="n">
        <v>10</v>
      </c>
      <c r="N47" t="n">
        <v>14</v>
      </c>
      <c r="O47" t="n">
        <v>16</v>
      </c>
      <c r="P47" t="n">
        <v>23</v>
      </c>
      <c r="Q47" t="n">
        <v>23</v>
      </c>
      <c r="R47" t="n">
        <v>20</v>
      </c>
      <c r="S47" t="n">
        <v>14</v>
      </c>
      <c r="T47" t="n">
        <v>10</v>
      </c>
      <c r="U47" t="n">
        <v>24</v>
      </c>
      <c r="V47" t="n">
        <v>8</v>
      </c>
      <c r="AG47" s="3">
        <f>AVERAGE(H47:AE47)</f>
        <v>16.266666666666666</v>
      </c>
      <c r="AH47" s="4">
        <f>AG47*G47</f>
        <v>471.7333333333333</v>
      </c>
      <c r="AI47" t="n">
        <v>1</v>
      </c>
      <c r="AJ47">
        <f>5.4*11.6/25</f>
        <v>2.5056</v>
      </c>
      <c r="AK47" s="5">
        <f>(AH47)*1000/AJ47*AI47</f>
        <v>188271.6049382716</v>
      </c>
      <c r="AL47" s="3">
        <f>100*ABS(AH47-AH49)/AVERAGE(AH47,AH49)</f>
        <v>1.059446733372564</v>
      </c>
      <c r="AM47" s="4">
        <f>AVERAGE(AH47,AH49)</f>
        <v>469.247619047619</v>
      </c>
      <c r="AN47" s="3" t="e">
        <f>AM47-#REF!</f>
        <v>#REF!</v>
      </c>
      <c r="AO47" s="3">
        <f>100*AM47/1500</f>
        <v>31.2831746031746</v>
      </c>
      <c r="AP47" t="e">
        <f>100*AN47/1000</f>
        <v>#REF!</v>
      </c>
      <c r="AQ47" s="4" t="e">
        <f>AH47-#REF!</f>
        <v>#REF!</v>
      </c>
    </row>
    <row r="48">
      <c r="B48" t="inlineStr">
        <is>
          <t>Clade B</t>
        </is>
      </c>
      <c r="C48" t="inlineStr">
        <is>
          <t>S09</t>
        </is>
      </c>
      <c r="D48" t="inlineStr">
        <is>
          <t>B</t>
        </is>
      </c>
      <c r="F48">
        <f>SUM(H49:AE49)</f>
        <v>338</v>
      </c>
      <c r="H48" t="inlineStr">
        <is>
          <t>Field-1</t>
        </is>
      </c>
      <c r="I48" t="inlineStr">
        <is>
          <t>Field-2</t>
        </is>
      </c>
      <c r="J48" t="inlineStr">
        <is>
          <t>Field-3</t>
        </is>
      </c>
      <c r="K48" t="inlineStr">
        <is>
          <t>Field-4</t>
        </is>
      </c>
      <c r="L48" t="inlineStr">
        <is>
          <t>Field-5</t>
        </is>
      </c>
      <c r="M48" t="inlineStr">
        <is>
          <t>Field-6</t>
        </is>
      </c>
      <c r="N48" t="inlineStr">
        <is>
          <t>Field-7</t>
        </is>
      </c>
      <c r="O48" t="inlineStr">
        <is>
          <t>Field-8</t>
        </is>
      </c>
      <c r="P48" t="inlineStr">
        <is>
          <t>Field-9</t>
        </is>
      </c>
      <c r="Q48" t="inlineStr">
        <is>
          <t>Field-10</t>
        </is>
      </c>
      <c r="R48" t="inlineStr">
        <is>
          <t>Field-11</t>
        </is>
      </c>
      <c r="S48" t="inlineStr">
        <is>
          <t>Field-12</t>
        </is>
      </c>
      <c r="T48" t="inlineStr">
        <is>
          <t>Field-13</t>
        </is>
      </c>
      <c r="U48" t="inlineStr">
        <is>
          <t>Field-14</t>
        </is>
      </c>
      <c r="V48" t="inlineStr">
        <is>
          <t>Field-15</t>
        </is>
      </c>
      <c r="W48" t="inlineStr">
        <is>
          <t>Field-16</t>
        </is>
      </c>
      <c r="X48" t="inlineStr">
        <is>
          <t>Field-17</t>
        </is>
      </c>
      <c r="Y48" t="inlineStr">
        <is>
          <t>Field-18</t>
        </is>
      </c>
      <c r="Z48" t="inlineStr">
        <is>
          <t>Field-19</t>
        </is>
      </c>
      <c r="AA48" t="inlineStr">
        <is>
          <t>Field-20</t>
        </is>
      </c>
      <c r="AB48" t="inlineStr">
        <is>
          <t>Field-21</t>
        </is>
      </c>
      <c r="AC48" t="inlineStr">
        <is>
          <t>Field-22</t>
        </is>
      </c>
      <c r="AD48" t="inlineStr">
        <is>
          <t>Field-23</t>
        </is>
      </c>
      <c r="AE48" t="inlineStr">
        <is>
          <t>Field-24</t>
        </is>
      </c>
    </row>
    <row r="49">
      <c r="G49" s="3" t="n">
        <v>29</v>
      </c>
      <c r="H49" t="n">
        <v>14</v>
      </c>
      <c r="I49" t="n">
        <v>15</v>
      </c>
      <c r="J49" t="n">
        <v>18</v>
      </c>
      <c r="K49" t="n">
        <v>15</v>
      </c>
      <c r="L49" t="n">
        <v>8</v>
      </c>
      <c r="M49" t="n">
        <v>20</v>
      </c>
      <c r="N49" t="n">
        <v>15</v>
      </c>
      <c r="O49" t="n">
        <v>24</v>
      </c>
      <c r="P49" t="n">
        <v>15</v>
      </c>
      <c r="Q49" t="n">
        <v>11</v>
      </c>
      <c r="R49" t="n">
        <v>24</v>
      </c>
      <c r="S49" t="n">
        <v>12</v>
      </c>
      <c r="T49" t="n">
        <v>13</v>
      </c>
      <c r="U49" t="n">
        <v>22</v>
      </c>
      <c r="V49" t="n">
        <v>12</v>
      </c>
      <c r="W49" t="n">
        <v>21</v>
      </c>
      <c r="X49" t="n">
        <v>24</v>
      </c>
      <c r="Y49" t="n">
        <v>9</v>
      </c>
      <c r="Z49" t="n">
        <v>16</v>
      </c>
      <c r="AA49" t="n">
        <v>22</v>
      </c>
      <c r="AB49" t="n">
        <v>8</v>
      </c>
      <c r="AG49" s="3">
        <f>AVERAGE(H49:AE49)</f>
        <v>16.095238095238095</v>
      </c>
      <c r="AH49" s="4">
        <f>AG49*G49</f>
        <v>466.76190476190476</v>
      </c>
      <c r="AI49" t="n">
        <v>1</v>
      </c>
      <c r="AJ49">
        <f>5.4*11.6/25</f>
        <v>2.5056</v>
      </c>
      <c r="AK49" s="5">
        <f>(AH49)*1000/AJ49*AI49</f>
        <v>186287.47795414462</v>
      </c>
      <c r="AL49" s="3" t="n"/>
      <c r="AM49" s="4" t="e">
        <f>AVERAGE(AH49,#REF!)</f>
        <v>#REF!</v>
      </c>
      <c r="AN49" s="3" t="e">
        <f>AM49-#REF!</f>
        <v>#REF!</v>
      </c>
      <c r="AO49" s="3" t="e">
        <f>100*AM49/1500</f>
        <v>#REF!</v>
      </c>
      <c r="AP49" t="e">
        <f>100*AN49/1000</f>
        <v>#REF!</v>
      </c>
      <c r="AQ49" s="4" t="e">
        <f>AH49-#REF!</f>
        <v>#REF!</v>
      </c>
    </row>
    <row r="51">
      <c r="C51" t="inlineStr">
        <is>
          <t>03-03-2026</t>
        </is>
      </c>
      <c r="D51" t="inlineStr">
        <is>
          <t>A</t>
        </is>
      </c>
      <c r="F51">
        <f>SUM(H52:AE52)</f>
        <v>216</v>
      </c>
      <c r="H51" t="inlineStr">
        <is>
          <t>Field-1</t>
        </is>
      </c>
      <c r="I51" t="inlineStr">
        <is>
          <t>Field-2</t>
        </is>
      </c>
      <c r="J51" t="inlineStr">
        <is>
          <t>Field-3</t>
        </is>
      </c>
      <c r="K51" t="inlineStr">
        <is>
          <t>Field-4</t>
        </is>
      </c>
      <c r="L51" t="inlineStr">
        <is>
          <t>Field-5</t>
        </is>
      </c>
      <c r="M51" t="inlineStr">
        <is>
          <t>Field-6</t>
        </is>
      </c>
      <c r="N51" t="inlineStr">
        <is>
          <t>Field-7</t>
        </is>
      </c>
      <c r="O51" t="inlineStr">
        <is>
          <t>Field-8</t>
        </is>
      </c>
      <c r="P51" t="inlineStr">
        <is>
          <t>Field-9</t>
        </is>
      </c>
      <c r="Q51" t="inlineStr">
        <is>
          <t>Field-10</t>
        </is>
      </c>
      <c r="R51" t="inlineStr">
        <is>
          <t>Field-11</t>
        </is>
      </c>
      <c r="S51" t="inlineStr">
        <is>
          <t>Field-12</t>
        </is>
      </c>
      <c r="T51" t="inlineStr">
        <is>
          <t>Field-13</t>
        </is>
      </c>
      <c r="U51" t="inlineStr">
        <is>
          <t>Field-14</t>
        </is>
      </c>
      <c r="V51" t="inlineStr">
        <is>
          <t>Field-15</t>
        </is>
      </c>
      <c r="W51" t="inlineStr">
        <is>
          <t>Field-16</t>
        </is>
      </c>
      <c r="X51" t="inlineStr">
        <is>
          <t>Field-17</t>
        </is>
      </c>
      <c r="Y51" t="inlineStr">
        <is>
          <t>Field-18</t>
        </is>
      </c>
      <c r="Z51" t="inlineStr">
        <is>
          <t>Field-19</t>
        </is>
      </c>
      <c r="AA51" t="inlineStr">
        <is>
          <t>Field-20</t>
        </is>
      </c>
      <c r="AB51" t="inlineStr">
        <is>
          <t>Field-21</t>
        </is>
      </c>
      <c r="AC51" t="inlineStr">
        <is>
          <t>Field-22</t>
        </is>
      </c>
      <c r="AD51" t="inlineStr">
        <is>
          <t>Field-23</t>
        </is>
      </c>
      <c r="AE51" t="inlineStr">
        <is>
          <t>Field-24</t>
        </is>
      </c>
    </row>
    <row r="52">
      <c r="G52" s="3" t="n">
        <v>29</v>
      </c>
      <c r="H52" t="n">
        <v>16</v>
      </c>
      <c r="I52" t="n">
        <v>23</v>
      </c>
      <c r="J52" t="n">
        <v>11</v>
      </c>
      <c r="K52" t="n">
        <v>25</v>
      </c>
      <c r="L52" t="n">
        <v>13</v>
      </c>
      <c r="M52" t="n">
        <v>14</v>
      </c>
      <c r="N52" t="n">
        <v>23</v>
      </c>
      <c r="O52" t="n">
        <v>10</v>
      </c>
      <c r="P52" t="n">
        <v>20</v>
      </c>
      <c r="Q52" t="n">
        <v>12</v>
      </c>
      <c r="R52" t="n">
        <v>9</v>
      </c>
      <c r="S52" t="n">
        <v>20</v>
      </c>
      <c r="T52" t="n">
        <v>20</v>
      </c>
      <c r="AG52" s="3">
        <f>AVERAGE(H52:AE52)</f>
        <v>16.615384615384617</v>
      </c>
      <c r="AH52" s="4">
        <f>AG52*G52</f>
        <v>481.84615384615387</v>
      </c>
      <c r="AI52" t="n">
        <v>1</v>
      </c>
      <c r="AJ52">
        <f>5.4*11.6/25</f>
        <v>2.5056</v>
      </c>
      <c r="AK52" s="5">
        <f>(AH52)*1000/AJ52*AI52</f>
        <v>192307.69230769234</v>
      </c>
      <c r="AL52" s="3">
        <f>100*ABS(AH52-AH54)/AVERAGE(AH52,AH54)</f>
        <v>11.627906976744187</v>
      </c>
      <c r="AM52" s="4">
        <f>AVERAGE(AH52,AH54)</f>
        <v>511.58974358974365</v>
      </c>
      <c r="AN52" s="3" t="e">
        <f>AM52-#REF!</f>
        <v>#REF!</v>
      </c>
      <c r="AO52" s="3">
        <f>100*AM52/1500</f>
        <v>34.10598290598291</v>
      </c>
      <c r="AP52" t="e">
        <f>100*AN52/1000</f>
        <v>#REF!</v>
      </c>
      <c r="AQ52" s="4" t="e">
        <f>AH52-#REF!</f>
        <v>#REF!</v>
      </c>
    </row>
    <row r="53">
      <c r="B53" t="inlineStr">
        <is>
          <t>Clade B</t>
        </is>
      </c>
      <c r="C53" t="inlineStr">
        <is>
          <t>S10</t>
        </is>
      </c>
      <c r="D53" t="inlineStr">
        <is>
          <t>B</t>
        </is>
      </c>
      <c r="F53">
        <f>SUM(H54:AE54)</f>
        <v>280</v>
      </c>
      <c r="H53" t="inlineStr">
        <is>
          <t>Field-1</t>
        </is>
      </c>
      <c r="I53" t="inlineStr">
        <is>
          <t>Field-2</t>
        </is>
      </c>
      <c r="J53" t="inlineStr">
        <is>
          <t>Field-3</t>
        </is>
      </c>
      <c r="K53" t="inlineStr">
        <is>
          <t>Field-4</t>
        </is>
      </c>
      <c r="L53" t="inlineStr">
        <is>
          <t>Field-5</t>
        </is>
      </c>
      <c r="M53" t="inlineStr">
        <is>
          <t>Field-6</t>
        </is>
      </c>
      <c r="N53" t="inlineStr">
        <is>
          <t>Field-7</t>
        </is>
      </c>
      <c r="O53" t="inlineStr">
        <is>
          <t>Field-8</t>
        </is>
      </c>
      <c r="P53" t="inlineStr">
        <is>
          <t>Field-9</t>
        </is>
      </c>
      <c r="Q53" t="inlineStr">
        <is>
          <t>Field-10</t>
        </is>
      </c>
      <c r="R53" t="inlineStr">
        <is>
          <t>Field-11</t>
        </is>
      </c>
      <c r="S53" t="inlineStr">
        <is>
          <t>Field-12</t>
        </is>
      </c>
      <c r="T53" t="inlineStr">
        <is>
          <t>Field-13</t>
        </is>
      </c>
      <c r="U53" t="inlineStr">
        <is>
          <t>Field-14</t>
        </is>
      </c>
      <c r="V53" t="inlineStr">
        <is>
          <t>Field-15</t>
        </is>
      </c>
      <c r="W53" t="inlineStr">
        <is>
          <t>Field-16</t>
        </is>
      </c>
      <c r="X53" t="inlineStr">
        <is>
          <t>Field-17</t>
        </is>
      </c>
      <c r="Y53" t="inlineStr">
        <is>
          <t>Field-18</t>
        </is>
      </c>
      <c r="Z53" t="inlineStr">
        <is>
          <t>Field-19</t>
        </is>
      </c>
      <c r="AA53" t="inlineStr">
        <is>
          <t>Field-20</t>
        </is>
      </c>
      <c r="AB53" t="inlineStr">
        <is>
          <t>Field-21</t>
        </is>
      </c>
      <c r="AC53" t="inlineStr">
        <is>
          <t>Field-22</t>
        </is>
      </c>
      <c r="AD53" t="inlineStr">
        <is>
          <t>Field-23</t>
        </is>
      </c>
      <c r="AE53" t="inlineStr">
        <is>
          <t>Field-24</t>
        </is>
      </c>
    </row>
    <row r="54">
      <c r="G54" s="3" t="n">
        <v>29</v>
      </c>
      <c r="H54" t="n">
        <v>21</v>
      </c>
      <c r="I54" t="n">
        <v>11</v>
      </c>
      <c r="J54" t="n">
        <v>25</v>
      </c>
      <c r="K54" t="n">
        <v>20</v>
      </c>
      <c r="L54" t="n">
        <v>21</v>
      </c>
      <c r="M54" t="n">
        <v>16</v>
      </c>
      <c r="N54" t="n">
        <v>21</v>
      </c>
      <c r="O54" t="n">
        <v>23</v>
      </c>
      <c r="P54" t="n">
        <v>14</v>
      </c>
      <c r="Q54" t="n">
        <v>10</v>
      </c>
      <c r="R54" t="n">
        <v>14</v>
      </c>
      <c r="S54" t="n">
        <v>16</v>
      </c>
      <c r="T54" t="n">
        <v>24</v>
      </c>
      <c r="U54" t="n">
        <v>25</v>
      </c>
      <c r="V54" t="n">
        <v>19</v>
      </c>
      <c r="AG54" s="3">
        <f>AVERAGE(H54:AE54)</f>
        <v>18.666666666666668</v>
      </c>
      <c r="AH54" s="4">
        <f>AG54*G54</f>
        <v>541.3333333333334</v>
      </c>
      <c r="AI54" t="n">
        <v>1</v>
      </c>
      <c r="AJ54">
        <f>5.4*11.6/25</f>
        <v>2.5056</v>
      </c>
      <c r="AK54" s="5">
        <f>(AH54)*1000/AJ54*AI54</f>
        <v>216049.3827160494</v>
      </c>
      <c r="AL54" s="3" t="n"/>
      <c r="AM54" s="4" t="e">
        <f>AVERAGE(AH54,#REF!)</f>
        <v>#REF!</v>
      </c>
      <c r="AN54" s="3" t="e">
        <f>AM54-#REF!</f>
        <v>#REF!</v>
      </c>
      <c r="AO54" s="3" t="e">
        <f>100*AM54/1500</f>
        <v>#REF!</v>
      </c>
      <c r="AP54" t="e">
        <f>100*AN54/1000</f>
        <v>#REF!</v>
      </c>
      <c r="AQ54" s="4" t="e">
        <f>AH54-#REF!</f>
        <v>#REF!</v>
      </c>
    </row>
    <row r="56">
      <c r="C56" t="inlineStr">
        <is>
          <t>03-03-2026</t>
        </is>
      </c>
      <c r="D56" t="inlineStr">
        <is>
          <t>A</t>
        </is>
      </c>
      <c r="E56" t="n">
        <v>0</v>
      </c>
      <c r="F56">
        <f>SUM(H57:AE57)</f>
        <v>278</v>
      </c>
      <c r="H56" t="inlineStr">
        <is>
          <t>Field-1</t>
        </is>
      </c>
      <c r="I56" t="inlineStr">
        <is>
          <t>Field-2</t>
        </is>
      </c>
      <c r="J56" t="inlineStr">
        <is>
          <t>Field-3</t>
        </is>
      </c>
      <c r="K56" t="inlineStr">
        <is>
          <t>Field-4</t>
        </is>
      </c>
      <c r="L56" t="inlineStr">
        <is>
          <t>Field-5</t>
        </is>
      </c>
      <c r="M56" t="inlineStr">
        <is>
          <t>Field-6</t>
        </is>
      </c>
      <c r="N56" t="inlineStr">
        <is>
          <t>Field-7</t>
        </is>
      </c>
      <c r="O56" t="inlineStr">
        <is>
          <t>Field-8</t>
        </is>
      </c>
      <c r="P56" t="inlineStr">
        <is>
          <t>Field-9</t>
        </is>
      </c>
      <c r="Q56" t="inlineStr">
        <is>
          <t>Field-10</t>
        </is>
      </c>
      <c r="R56" t="inlineStr">
        <is>
          <t>Field-11</t>
        </is>
      </c>
      <c r="S56" t="inlineStr">
        <is>
          <t>Field-12</t>
        </is>
      </c>
      <c r="T56" t="inlineStr">
        <is>
          <t>Field-13</t>
        </is>
      </c>
      <c r="U56" t="inlineStr">
        <is>
          <t>Field-14</t>
        </is>
      </c>
      <c r="V56" t="inlineStr">
        <is>
          <t>Field-15</t>
        </is>
      </c>
      <c r="W56" t="inlineStr">
        <is>
          <t>Field-16</t>
        </is>
      </c>
      <c r="X56" t="inlineStr">
        <is>
          <t>Field-17</t>
        </is>
      </c>
      <c r="Y56" t="inlineStr">
        <is>
          <t>Field-18</t>
        </is>
      </c>
      <c r="Z56" t="inlineStr">
        <is>
          <t>Field-19</t>
        </is>
      </c>
      <c r="AA56" t="inlineStr">
        <is>
          <t>Field-20</t>
        </is>
      </c>
      <c r="AB56" t="inlineStr">
        <is>
          <t>Field-21</t>
        </is>
      </c>
      <c r="AC56" t="inlineStr">
        <is>
          <t>Field-22</t>
        </is>
      </c>
      <c r="AD56" t="inlineStr">
        <is>
          <t>Field-23</t>
        </is>
      </c>
      <c r="AE56" t="inlineStr">
        <is>
          <t>Field-24</t>
        </is>
      </c>
    </row>
    <row r="57">
      <c r="G57" s="3" t="n">
        <v>29</v>
      </c>
      <c r="H57" t="n">
        <v>18</v>
      </c>
      <c r="I57" t="n">
        <v>13</v>
      </c>
      <c r="J57" t="n">
        <v>16</v>
      </c>
      <c r="K57" t="n">
        <v>18</v>
      </c>
      <c r="L57" t="n">
        <v>4</v>
      </c>
      <c r="M57" t="n">
        <v>19</v>
      </c>
      <c r="N57" t="n">
        <v>6</v>
      </c>
      <c r="O57" t="n">
        <v>14</v>
      </c>
      <c r="P57" t="n">
        <v>7</v>
      </c>
      <c r="Q57" t="n">
        <v>16</v>
      </c>
      <c r="R57" t="n">
        <v>8</v>
      </c>
      <c r="S57" t="n">
        <v>14</v>
      </c>
      <c r="T57" t="n">
        <v>6</v>
      </c>
      <c r="U57" t="n">
        <v>9</v>
      </c>
      <c r="V57" t="n">
        <v>7</v>
      </c>
      <c r="W57" t="n">
        <v>5</v>
      </c>
      <c r="X57" t="n">
        <v>14</v>
      </c>
      <c r="Y57" t="n">
        <v>6</v>
      </c>
      <c r="Z57" t="n">
        <v>19</v>
      </c>
      <c r="AA57" t="n">
        <v>14</v>
      </c>
      <c r="AB57" t="n">
        <v>16</v>
      </c>
      <c r="AC57" t="n">
        <v>14</v>
      </c>
      <c r="AD57" t="n">
        <v>5</v>
      </c>
      <c r="AE57" t="n">
        <v>10</v>
      </c>
      <c r="AG57" s="3">
        <f>AVERAGE(H57:AE57)</f>
        <v>11.583333333333334</v>
      </c>
      <c r="AH57" s="4">
        <f>AG57*G57</f>
        <v>335.9166666666667</v>
      </c>
      <c r="AI57" t="n">
        <v>1</v>
      </c>
      <c r="AJ57">
        <f>5.4*11.6/25</f>
        <v>2.5056</v>
      </c>
      <c r="AK57" s="5">
        <f>(AH57)*1000/AJ57*AI57</f>
        <v>134066.35802469138</v>
      </c>
      <c r="AL57" s="3">
        <f>100*ABS(AH57-AH59)/AVERAGE(AH57,AH59)</f>
        <v>7.850467289719626</v>
      </c>
      <c r="AM57" s="4">
        <f>AVERAGE(AH57,AH59)</f>
        <v>323.2291666666667</v>
      </c>
      <c r="AN57" s="3" t="e">
        <f>AM57-#REF!</f>
        <v>#REF!</v>
      </c>
      <c r="AO57" s="3">
        <f>100*AM57/1500</f>
        <v>21.54861111111111</v>
      </c>
      <c r="AP57" t="e">
        <f>100*AN57/1000</f>
        <v>#REF!</v>
      </c>
      <c r="AQ57" s="4" t="e">
        <f>AH57-#REF!</f>
        <v>#REF!</v>
      </c>
    </row>
    <row r="58">
      <c r="B58" t="inlineStr">
        <is>
          <t>Clade B</t>
        </is>
      </c>
      <c r="C58" t="inlineStr">
        <is>
          <t>S11</t>
        </is>
      </c>
      <c r="D58" t="inlineStr">
        <is>
          <t>B</t>
        </is>
      </c>
      <c r="F58">
        <f>SUM(H59:AE59)</f>
        <v>257</v>
      </c>
      <c r="H58" t="inlineStr">
        <is>
          <t>Field-1</t>
        </is>
      </c>
      <c r="I58" t="inlineStr">
        <is>
          <t>Field-2</t>
        </is>
      </c>
      <c r="J58" t="inlineStr">
        <is>
          <t>Field-3</t>
        </is>
      </c>
      <c r="K58" t="inlineStr">
        <is>
          <t>Field-4</t>
        </is>
      </c>
      <c r="L58" t="inlineStr">
        <is>
          <t>Field-5</t>
        </is>
      </c>
      <c r="M58" t="inlineStr">
        <is>
          <t>Field-6</t>
        </is>
      </c>
      <c r="N58" t="inlineStr">
        <is>
          <t>Field-7</t>
        </is>
      </c>
      <c r="O58" t="inlineStr">
        <is>
          <t>Field-8</t>
        </is>
      </c>
      <c r="P58" t="inlineStr">
        <is>
          <t>Field-9</t>
        </is>
      </c>
      <c r="Q58" t="inlineStr">
        <is>
          <t>Field-10</t>
        </is>
      </c>
      <c r="R58" t="inlineStr">
        <is>
          <t>Field-11</t>
        </is>
      </c>
      <c r="S58" t="inlineStr">
        <is>
          <t>Field-12</t>
        </is>
      </c>
      <c r="T58" t="inlineStr">
        <is>
          <t>Field-13</t>
        </is>
      </c>
      <c r="U58" t="inlineStr">
        <is>
          <t>Field-14</t>
        </is>
      </c>
      <c r="V58" t="inlineStr">
        <is>
          <t>Field-15</t>
        </is>
      </c>
      <c r="W58" t="inlineStr">
        <is>
          <t>Field-16</t>
        </is>
      </c>
      <c r="X58" t="inlineStr">
        <is>
          <t>Field-17</t>
        </is>
      </c>
      <c r="Y58" t="inlineStr">
        <is>
          <t>Field-18</t>
        </is>
      </c>
      <c r="Z58" t="inlineStr">
        <is>
          <t>Field-19</t>
        </is>
      </c>
      <c r="AA58" t="inlineStr">
        <is>
          <t>Field-20</t>
        </is>
      </c>
      <c r="AB58" t="inlineStr">
        <is>
          <t>Field-21</t>
        </is>
      </c>
      <c r="AC58" t="inlineStr">
        <is>
          <t>Field-22</t>
        </is>
      </c>
      <c r="AD58" t="inlineStr">
        <is>
          <t>Field-23</t>
        </is>
      </c>
      <c r="AE58" t="inlineStr">
        <is>
          <t>Field-24</t>
        </is>
      </c>
    </row>
    <row r="59">
      <c r="G59" s="3" t="n">
        <v>29</v>
      </c>
      <c r="H59" t="n">
        <v>6</v>
      </c>
      <c r="I59" t="n">
        <v>7</v>
      </c>
      <c r="J59" t="n">
        <v>6</v>
      </c>
      <c r="K59" t="n">
        <v>7</v>
      </c>
      <c r="L59" t="n">
        <v>9</v>
      </c>
      <c r="M59" t="n">
        <v>4</v>
      </c>
      <c r="N59" t="n">
        <v>10</v>
      </c>
      <c r="O59" t="n">
        <v>8</v>
      </c>
      <c r="P59" t="n">
        <v>13</v>
      </c>
      <c r="Q59" t="n">
        <v>17</v>
      </c>
      <c r="R59" t="n">
        <v>5</v>
      </c>
      <c r="S59" t="n">
        <v>13</v>
      </c>
      <c r="T59" t="n">
        <v>11</v>
      </c>
      <c r="U59" t="n">
        <v>17</v>
      </c>
      <c r="V59" t="n">
        <v>9</v>
      </c>
      <c r="W59" t="n">
        <v>15</v>
      </c>
      <c r="X59" t="n">
        <v>11</v>
      </c>
      <c r="Y59" t="n">
        <v>4</v>
      </c>
      <c r="Z59" t="n">
        <v>11</v>
      </c>
      <c r="AA59" t="n">
        <v>15</v>
      </c>
      <c r="AB59" t="n">
        <v>18</v>
      </c>
      <c r="AC59" t="n">
        <v>6</v>
      </c>
      <c r="AD59" t="n">
        <v>15</v>
      </c>
      <c r="AE59" t="n">
        <v>20</v>
      </c>
      <c r="AG59" s="3">
        <f>AVERAGE(H59:AE59)</f>
        <v>10.708333333333334</v>
      </c>
      <c r="AH59" s="4">
        <f>AG59*G59</f>
        <v>310.5416666666667</v>
      </c>
      <c r="AI59" t="n">
        <v>1</v>
      </c>
      <c r="AJ59">
        <f>5.4*11.6/25</f>
        <v>2.5056</v>
      </c>
      <c r="AK59" s="5">
        <f>(AH59)*1000/AJ59*AI59</f>
        <v>123939.04320987656</v>
      </c>
      <c r="AL59" s="3" t="n"/>
      <c r="AM59" s="4" t="e">
        <f>AVERAGE(AH59,#REF!)</f>
        <v>#REF!</v>
      </c>
      <c r="AN59" s="3" t="e">
        <f>AM59-#REF!</f>
        <v>#REF!</v>
      </c>
      <c r="AO59" s="3" t="e">
        <f>100*AM59/1500</f>
        <v>#REF!</v>
      </c>
      <c r="AP59" t="e">
        <f>100*AN59/1000</f>
        <v>#REF!</v>
      </c>
      <c r="AQ59" s="4" t="e">
        <f>AH59-#REF!</f>
        <v>#REF!</v>
      </c>
    </row>
    <row r="61">
      <c r="C61" t="inlineStr">
        <is>
          <t>03-03-2026</t>
        </is>
      </c>
      <c r="D61" t="inlineStr">
        <is>
          <t>A</t>
        </is>
      </c>
      <c r="E61" t="n">
        <v>2</v>
      </c>
      <c r="F61">
        <f>SUM(H62:AE62)</f>
        <v>566</v>
      </c>
      <c r="H61" t="inlineStr">
        <is>
          <t>Field-1</t>
        </is>
      </c>
      <c r="I61" t="inlineStr">
        <is>
          <t>Field-2</t>
        </is>
      </c>
      <c r="J61" t="inlineStr">
        <is>
          <t>Field-3</t>
        </is>
      </c>
      <c r="K61" t="inlineStr">
        <is>
          <t>Field-4</t>
        </is>
      </c>
      <c r="L61" t="inlineStr">
        <is>
          <t>Field-5</t>
        </is>
      </c>
      <c r="M61" t="inlineStr">
        <is>
          <t>Field-6</t>
        </is>
      </c>
      <c r="N61" t="inlineStr">
        <is>
          <t>Field-7</t>
        </is>
      </c>
      <c r="O61" t="inlineStr">
        <is>
          <t>Field-8</t>
        </is>
      </c>
      <c r="P61" t="inlineStr">
        <is>
          <t>Field-9</t>
        </is>
      </c>
      <c r="Q61" t="inlineStr">
        <is>
          <t>Field-10</t>
        </is>
      </c>
      <c r="R61" t="inlineStr">
        <is>
          <t>Field-11</t>
        </is>
      </c>
      <c r="S61" t="inlineStr">
        <is>
          <t>Field-12</t>
        </is>
      </c>
      <c r="T61" t="inlineStr">
        <is>
          <t>Field-13</t>
        </is>
      </c>
      <c r="U61" t="inlineStr">
        <is>
          <t>Field-14</t>
        </is>
      </c>
      <c r="V61" t="inlineStr">
        <is>
          <t>Field-15</t>
        </is>
      </c>
      <c r="W61" t="inlineStr">
        <is>
          <t>Field-16</t>
        </is>
      </c>
      <c r="X61" t="inlineStr">
        <is>
          <t>Field-17</t>
        </is>
      </c>
      <c r="Y61" t="inlineStr">
        <is>
          <t>Field-18</t>
        </is>
      </c>
      <c r="Z61" t="inlineStr">
        <is>
          <t>Field-19</t>
        </is>
      </c>
      <c r="AA61" t="inlineStr">
        <is>
          <t>Field-20</t>
        </is>
      </c>
      <c r="AB61" t="inlineStr">
        <is>
          <t>Field-21</t>
        </is>
      </c>
      <c r="AC61" t="inlineStr">
        <is>
          <t>Field-22</t>
        </is>
      </c>
      <c r="AD61" t="inlineStr">
        <is>
          <t>Field-23</t>
        </is>
      </c>
      <c r="AE61" t="inlineStr">
        <is>
          <t>Field-24</t>
        </is>
      </c>
    </row>
    <row r="62">
      <c r="G62" s="3" t="n">
        <v>29</v>
      </c>
      <c r="H62" t="n">
        <v>30</v>
      </c>
      <c r="I62" t="n">
        <v>34</v>
      </c>
      <c r="J62" t="n">
        <v>35</v>
      </c>
      <c r="K62" t="n">
        <v>38</v>
      </c>
      <c r="L62" t="n">
        <v>26</v>
      </c>
      <c r="M62" t="n">
        <v>28</v>
      </c>
      <c r="N62" t="n">
        <v>37</v>
      </c>
      <c r="O62" t="n">
        <v>28</v>
      </c>
      <c r="P62" t="n">
        <v>39</v>
      </c>
      <c r="Q62" t="n">
        <v>34</v>
      </c>
      <c r="R62" t="n">
        <v>24</v>
      </c>
      <c r="S62" t="n">
        <v>28</v>
      </c>
      <c r="T62" t="n">
        <v>26</v>
      </c>
      <c r="U62" t="n">
        <v>31</v>
      </c>
      <c r="V62" t="n">
        <v>36</v>
      </c>
      <c r="W62" t="n">
        <v>37</v>
      </c>
      <c r="X62" t="n">
        <v>25</v>
      </c>
      <c r="Y62" t="n">
        <v>30</v>
      </c>
      <c r="AG62" s="3">
        <f>AVERAGE(H62:AE62)</f>
        <v>31.444444444444443</v>
      </c>
      <c r="AH62" s="4">
        <f>AG62*G62</f>
        <v>911.8888888888888</v>
      </c>
      <c r="AI62" t="n">
        <v>1</v>
      </c>
      <c r="AJ62">
        <f>5.4*11.6/25</f>
        <v>2.5056</v>
      </c>
      <c r="AK62" s="5">
        <f>(AH62)*1000/AJ62*AI62</f>
        <v>363940.329218107</v>
      </c>
      <c r="AL62" s="3">
        <f>100*ABS(AH62-AH64)/AVERAGE(AH62,AH64)</f>
        <v>5.405405405405389</v>
      </c>
      <c r="AM62" s="4">
        <f>AVERAGE(AH62,AH64)</f>
        <v>887.8918128654971</v>
      </c>
      <c r="AN62" s="3" t="e">
        <f>AM62-#REF!</f>
        <v>#REF!</v>
      </c>
      <c r="AO62" s="3">
        <f>100*AM62/1500</f>
        <v>59.19278752436647</v>
      </c>
      <c r="AP62" t="e">
        <f>100*AN62/1000</f>
        <v>#REF!</v>
      </c>
      <c r="AQ62" s="4" t="e">
        <f>AH62-#REF!</f>
        <v>#REF!</v>
      </c>
    </row>
    <row r="63">
      <c r="B63" t="inlineStr">
        <is>
          <t>Clade B</t>
        </is>
      </c>
      <c r="C63" t="inlineStr">
        <is>
          <t>S12</t>
        </is>
      </c>
      <c r="D63" t="inlineStr">
        <is>
          <t>B</t>
        </is>
      </c>
      <c r="F63">
        <f>SUM(H64:AE64)</f>
        <v>566</v>
      </c>
      <c r="H63" t="inlineStr">
        <is>
          <t>Field-1</t>
        </is>
      </c>
      <c r="I63" t="inlineStr">
        <is>
          <t>Field-2</t>
        </is>
      </c>
      <c r="J63" t="inlineStr">
        <is>
          <t>Field-3</t>
        </is>
      </c>
      <c r="K63" t="inlineStr">
        <is>
          <t>Field-4</t>
        </is>
      </c>
      <c r="L63" t="inlineStr">
        <is>
          <t>Field-5</t>
        </is>
      </c>
      <c r="M63" t="inlineStr">
        <is>
          <t>Field-6</t>
        </is>
      </c>
      <c r="N63" t="inlineStr">
        <is>
          <t>Field-7</t>
        </is>
      </c>
      <c r="O63" t="inlineStr">
        <is>
          <t>Field-8</t>
        </is>
      </c>
      <c r="P63" t="inlineStr">
        <is>
          <t>Field-9</t>
        </is>
      </c>
      <c r="Q63" t="inlineStr">
        <is>
          <t>Field-10</t>
        </is>
      </c>
      <c r="R63" t="inlineStr">
        <is>
          <t>Field-11</t>
        </is>
      </c>
      <c r="S63" t="inlineStr">
        <is>
          <t>Field-12</t>
        </is>
      </c>
      <c r="T63" t="inlineStr">
        <is>
          <t>Field-13</t>
        </is>
      </c>
      <c r="U63" t="inlineStr">
        <is>
          <t>Field-14</t>
        </is>
      </c>
      <c r="V63" t="inlineStr">
        <is>
          <t>Field-15</t>
        </is>
      </c>
      <c r="W63" t="inlineStr">
        <is>
          <t>Field-16</t>
        </is>
      </c>
      <c r="X63" t="inlineStr">
        <is>
          <t>Field-17</t>
        </is>
      </c>
      <c r="Y63" t="inlineStr">
        <is>
          <t>Field-18</t>
        </is>
      </c>
      <c r="Z63" t="inlineStr">
        <is>
          <t>Field-19</t>
        </is>
      </c>
      <c r="AA63" t="inlineStr">
        <is>
          <t>Field-20</t>
        </is>
      </c>
      <c r="AB63" t="inlineStr">
        <is>
          <t>Field-21</t>
        </is>
      </c>
      <c r="AC63" t="inlineStr">
        <is>
          <t>Field-22</t>
        </is>
      </c>
      <c r="AD63" t="inlineStr">
        <is>
          <t>Field-23</t>
        </is>
      </c>
      <c r="AE63" t="inlineStr">
        <is>
          <t>Field-24</t>
        </is>
      </c>
    </row>
    <row r="64">
      <c r="G64" s="3" t="n">
        <v>29</v>
      </c>
      <c r="H64" t="n">
        <v>35</v>
      </c>
      <c r="I64" t="n">
        <v>24</v>
      </c>
      <c r="J64" t="n">
        <v>32</v>
      </c>
      <c r="K64" t="n">
        <v>30</v>
      </c>
      <c r="L64" t="n">
        <v>40</v>
      </c>
      <c r="M64" t="n">
        <v>25</v>
      </c>
      <c r="N64" t="n">
        <v>27</v>
      </c>
      <c r="O64" t="n">
        <v>26</v>
      </c>
      <c r="P64" t="n">
        <v>26</v>
      </c>
      <c r="Q64" t="n">
        <v>35</v>
      </c>
      <c r="R64" t="n">
        <v>39</v>
      </c>
      <c r="S64" t="n">
        <v>26</v>
      </c>
      <c r="T64" t="n">
        <v>27</v>
      </c>
      <c r="U64" t="n">
        <v>25</v>
      </c>
      <c r="V64" t="n">
        <v>28</v>
      </c>
      <c r="W64" t="n">
        <v>24</v>
      </c>
      <c r="X64" t="n">
        <v>29</v>
      </c>
      <c r="Y64" t="n">
        <v>35</v>
      </c>
      <c r="Z64" t="n">
        <v>33</v>
      </c>
      <c r="AG64" s="3">
        <f>AVERAGE(H64:AE64)</f>
        <v>29.789473684210527</v>
      </c>
      <c r="AH64" s="4">
        <f>AG64*G64</f>
        <v>863.8947368421053</v>
      </c>
      <c r="AI64" t="n">
        <v>1</v>
      </c>
      <c r="AJ64">
        <f>5.4*11.6/25</f>
        <v>2.5056</v>
      </c>
      <c r="AK64" s="5">
        <f>(AH64)*1000/AJ64*AI64</f>
        <v>344785.575048733</v>
      </c>
      <c r="AL64" s="3" t="n"/>
      <c r="AM64" s="4" t="e">
        <f>AVERAGE(AH64,#REF!)</f>
        <v>#REF!</v>
      </c>
      <c r="AN64" s="3" t="e">
        <f>AM64-#REF!</f>
        <v>#REF!</v>
      </c>
      <c r="AO64" s="3" t="e">
        <f>100*AM64/1500</f>
        <v>#REF!</v>
      </c>
      <c r="AP64" t="e">
        <f>100*AN64/1000</f>
        <v>#REF!</v>
      </c>
      <c r="AQ64" s="4" t="e">
        <f>AH64-#REF!</f>
        <v>#REF!</v>
      </c>
    </row>
  </sheetData>
  <mergeCells count="132">
    <mergeCell ref="F53:F54"/>
    <mergeCell ref="E8:E9"/>
    <mergeCell ref="B43:B44"/>
    <mergeCell ref="E48:E49"/>
    <mergeCell ref="B61:B62"/>
    <mergeCell ref="D21:D22"/>
    <mergeCell ref="D61:D62"/>
    <mergeCell ref="E23:E24"/>
    <mergeCell ref="C63:C64"/>
    <mergeCell ref="C16:C17"/>
    <mergeCell ref="E63:E64"/>
    <mergeCell ref="D36:D37"/>
    <mergeCell ref="F18:F19"/>
    <mergeCell ref="B23:B24"/>
    <mergeCell ref="B13:B14"/>
    <mergeCell ref="F26:F27"/>
    <mergeCell ref="D13:D14"/>
    <mergeCell ref="C41:C42"/>
    <mergeCell ref="D16:D17"/>
    <mergeCell ref="B28:B29"/>
    <mergeCell ref="B6:B7"/>
    <mergeCell ref="F13:F14"/>
    <mergeCell ref="F31:F32"/>
    <mergeCell ref="C43:C44"/>
    <mergeCell ref="D18:D19"/>
    <mergeCell ref="F28:F29"/>
    <mergeCell ref="D8:D9"/>
    <mergeCell ref="E41:E42"/>
    <mergeCell ref="B63:B64"/>
    <mergeCell ref="F48:F49"/>
    <mergeCell ref="D63:D64"/>
    <mergeCell ref="D38:D39"/>
    <mergeCell ref="E21:E22"/>
    <mergeCell ref="B56:B57"/>
    <mergeCell ref="AG4:AG5"/>
    <mergeCell ref="C6:C7"/>
    <mergeCell ref="F63:F64"/>
    <mergeCell ref="B26:B27"/>
    <mergeCell ref="F16:F17"/>
    <mergeCell ref="C4:C5"/>
    <mergeCell ref="E4:E5"/>
    <mergeCell ref="E13:E14"/>
    <mergeCell ref="F36:F37"/>
    <mergeCell ref="B11:B12"/>
    <mergeCell ref="D11:D12"/>
    <mergeCell ref="B58:B59"/>
    <mergeCell ref="H4:AE5"/>
    <mergeCell ref="E38:E39"/>
    <mergeCell ref="C56:C57"/>
    <mergeCell ref="F33:F34"/>
    <mergeCell ref="C31:C32"/>
    <mergeCell ref="C46:C47"/>
    <mergeCell ref="E31:E32"/>
    <mergeCell ref="E46:E47"/>
    <mergeCell ref="B53:B54"/>
    <mergeCell ref="D53:D54"/>
    <mergeCell ref="C51:C52"/>
    <mergeCell ref="C8:C9"/>
    <mergeCell ref="F61:F62"/>
    <mergeCell ref="AJ4:AJ5"/>
    <mergeCell ref="F46:F47"/>
    <mergeCell ref="F11:F12"/>
    <mergeCell ref="E26:E27"/>
    <mergeCell ref="F4:F5"/>
    <mergeCell ref="D26:D27"/>
    <mergeCell ref="D23:D24"/>
    <mergeCell ref="B16:B17"/>
    <mergeCell ref="C18:C19"/>
    <mergeCell ref="C58:C59"/>
    <mergeCell ref="E58:E59"/>
    <mergeCell ref="B31:B32"/>
    <mergeCell ref="B18:B19"/>
    <mergeCell ref="E51:E52"/>
    <mergeCell ref="B8:B9"/>
    <mergeCell ref="F21:F22"/>
    <mergeCell ref="F51:F52"/>
    <mergeCell ref="F8:F9"/>
    <mergeCell ref="E28:E29"/>
    <mergeCell ref="C21:C22"/>
    <mergeCell ref="D41:D42"/>
    <mergeCell ref="F41:F42"/>
    <mergeCell ref="F23:F24"/>
    <mergeCell ref="C36:C37"/>
    <mergeCell ref="D28:D29"/>
    <mergeCell ref="C23:C24"/>
    <mergeCell ref="D43:D44"/>
    <mergeCell ref="F43:F44"/>
    <mergeCell ref="B36:B37"/>
    <mergeCell ref="B33:B34"/>
    <mergeCell ref="E16:E17"/>
    <mergeCell ref="C48:C49"/>
    <mergeCell ref="E56:E57"/>
    <mergeCell ref="B4:B5"/>
    <mergeCell ref="C38:C39"/>
    <mergeCell ref="E18:E19"/>
    <mergeCell ref="D31:D32"/>
    <mergeCell ref="D6:D7"/>
    <mergeCell ref="B21:B22"/>
    <mergeCell ref="F6:F7"/>
    <mergeCell ref="E43:E44"/>
    <mergeCell ref="C33:C34"/>
    <mergeCell ref="E33:E34"/>
    <mergeCell ref="B46:B47"/>
    <mergeCell ref="AH4:AH5"/>
    <mergeCell ref="D46:D47"/>
    <mergeCell ref="B38:B39"/>
    <mergeCell ref="C26:C27"/>
    <mergeCell ref="B48:B49"/>
    <mergeCell ref="D48:D49"/>
    <mergeCell ref="D4:D5"/>
    <mergeCell ref="D56:D57"/>
    <mergeCell ref="AI4:AI5"/>
    <mergeCell ref="F56:F57"/>
    <mergeCell ref="E6:E7"/>
    <mergeCell ref="C11:C12"/>
    <mergeCell ref="E11:E12"/>
    <mergeCell ref="D33:D34"/>
    <mergeCell ref="C61:C62"/>
    <mergeCell ref="E61:E62"/>
    <mergeCell ref="F38:F39"/>
    <mergeCell ref="G4:G5"/>
    <mergeCell ref="E36:E37"/>
    <mergeCell ref="D58:D59"/>
    <mergeCell ref="F58:F59"/>
    <mergeCell ref="C13:C14"/>
    <mergeCell ref="C53:C54"/>
    <mergeCell ref="E53:E54"/>
    <mergeCell ref="B51:B52"/>
    <mergeCell ref="D51:D52"/>
    <mergeCell ref="C28:C29"/>
    <mergeCell ref="B41:B42"/>
    <mergeCell ref="AK4:A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4"/>
  <sheetViews>
    <sheetView workbookViewId="0">
      <selection activeCell="A1" sqref="A1"/>
    </sheetView>
  </sheetViews>
  <sheetFormatPr baseColWidth="10" defaultRowHeight="16"/>
  <cols>
    <col width="18.6640625" customWidth="1" min="1" max="1"/>
    <col width="13" customWidth="1" min="2" max="2"/>
    <col width="14.5" customWidth="1" min="3" max="3"/>
    <col width="11.6640625" customWidth="1" min="4" max="4"/>
    <col width="17.1640625" customWidth="1" min="5" max="5"/>
    <col width="14" customWidth="1" min="6" max="6"/>
    <col hidden="1" min="8" max="8"/>
    <col hidden="1" width="10.83203125" customWidth="1" min="9" max="9"/>
    <col hidden="1" width="10.83203125" customWidth="1" min="10" max="10"/>
    <col hidden="1" width="10.83203125" customWidth="1" min="11" max="11"/>
    <col hidden="1" width="10.83203125" customWidth="1" min="12" max="12"/>
    <col hidden="1" width="10.83203125" customWidth="1" min="13" max="13"/>
    <col hidden="1" width="10.83203125" customWidth="1" min="14" max="14"/>
    <col hidden="1" width="10.83203125" customWidth="1" min="15" max="15"/>
    <col hidden="1" width="10.83203125" customWidth="1" min="16" max="16"/>
    <col hidden="1" width="10.83203125" customWidth="1" min="17" max="17"/>
    <col hidden="1" width="10.83203125" customWidth="1" min="18" max="18"/>
    <col hidden="1" width="10.83203125" customWidth="1" min="19" max="19"/>
    <col hidden="1" width="10.83203125" customWidth="1" min="20" max="20"/>
    <col hidden="1" width="10.83203125" customWidth="1" min="21" max="21"/>
    <col hidden="1" width="10.83203125" customWidth="1" min="22" max="22"/>
    <col hidden="1" width="10.83203125" customWidth="1" min="23" max="23"/>
    <col hidden="1" width="10.83203125" customWidth="1" min="24" max="24"/>
    <col hidden="1" width="10.83203125" customWidth="1" min="25" max="25"/>
    <col hidden="1" width="10.83203125" customWidth="1" min="26" max="26"/>
    <col hidden="1" width="10.83203125" customWidth="1" min="27" max="27"/>
    <col hidden="1" width="10.83203125" customWidth="1" min="28" max="28"/>
    <col hidden="1" width="10.83203125" customWidth="1" min="29" max="29"/>
    <col hidden="1" width="10.83203125" customWidth="1" min="30" max="30"/>
    <col hidden="1" width="10.83203125" customWidth="1" min="31" max="31"/>
    <col hidden="1" width="10.83203125" customWidth="1" min="32" max="32"/>
  </cols>
  <sheetData>
    <row r="1">
      <c r="A1" s="1" t="inlineStr">
        <is>
          <t>Synthetic assay</t>
        </is>
      </c>
      <c r="B1" s="1" t="inlineStr">
        <is>
          <t>Clade A counts</t>
        </is>
      </c>
    </row>
    <row r="3">
      <c r="A3" s="1" t="inlineStr">
        <is>
          <t>Slides from 17-03-2026</t>
        </is>
      </c>
    </row>
    <row r="4">
      <c r="A4" s="2" t="inlineStr">
        <is>
          <t>Cy5 red &amp; Cy3 green 
(yellow counts)</t>
        </is>
      </c>
      <c r="B4" s="2" t="inlineStr">
        <is>
          <t>assay</t>
        </is>
      </c>
      <c r="C4" s="2" t="inlineStr">
        <is>
          <t>Phage &amp; dilution</t>
        </is>
      </c>
      <c r="D4" s="2" t="inlineStr">
        <is>
          <t>Slide number</t>
        </is>
      </c>
      <c r="E4" s="2" t="inlineStr">
        <is>
          <t>yellow</t>
        </is>
      </c>
      <c r="F4" s="2" t="inlineStr">
        <is>
          <t>summ / slide</t>
        </is>
      </c>
      <c r="G4" s="2" t="inlineStr">
        <is>
          <t>well area/grid area</t>
        </is>
      </c>
      <c r="H4" s="2" t="inlineStr">
        <is>
          <t>total yellow polonies/ grid</t>
        </is>
      </c>
      <c r="AG4" s="2" t="inlineStr">
        <is>
          <t>average number of polonies/grid</t>
        </is>
      </c>
      <c r="AH4" s="2" t="inlineStr">
        <is>
          <t>polonies/ slide</t>
        </is>
      </c>
      <c r="AI4" s="2" t="inlineStr">
        <is>
          <t>dilution</t>
        </is>
      </c>
      <c r="AJ4" s="2" t="inlineStr">
        <is>
          <t>sample volume/ slide</t>
        </is>
      </c>
      <c r="AK4" s="2" t="inlineStr">
        <is>
          <t xml:space="preserve"> polonies/ ml</t>
        </is>
      </c>
      <c r="AL4" s="2" t="inlineStr">
        <is>
          <t>%v diff btw slides</t>
        </is>
      </c>
      <c r="AM4" s="2" t="inlineStr">
        <is>
          <t xml:space="preserve">Average </t>
        </is>
      </c>
      <c r="AN4" s="2" t="inlineStr">
        <is>
          <t>Average - NTC</t>
        </is>
      </c>
      <c r="AO4" s="2" t="inlineStr">
        <is>
          <t>Efficiency average</t>
        </is>
      </c>
      <c r="AP4" s="2" t="inlineStr">
        <is>
          <t>Efficiency average-NTC</t>
        </is>
      </c>
      <c r="AQ4" s="2" t="inlineStr">
        <is>
          <t>pol/slide -NTC</t>
        </is>
      </c>
    </row>
    <row r="5"/>
    <row r="6">
      <c r="C6" t="inlineStr">
        <is>
          <t>03-03-2026</t>
        </is>
      </c>
      <c r="D6" t="inlineStr">
        <is>
          <t>A</t>
        </is>
      </c>
      <c r="F6">
        <f>SUM(H7:AE7)</f>
        <v>16</v>
      </c>
      <c r="H6" t="inlineStr">
        <is>
          <t>Field-1</t>
        </is>
      </c>
      <c r="I6" t="inlineStr">
        <is>
          <t>Field-2</t>
        </is>
      </c>
      <c r="J6" t="inlineStr">
        <is>
          <t>Field-3</t>
        </is>
      </c>
      <c r="K6" t="inlineStr">
        <is>
          <t>Field-4</t>
        </is>
      </c>
      <c r="L6" t="inlineStr">
        <is>
          <t>Field-5</t>
        </is>
      </c>
      <c r="M6" t="inlineStr">
        <is>
          <t>Field-6</t>
        </is>
      </c>
      <c r="N6" t="inlineStr">
        <is>
          <t>Field-7</t>
        </is>
      </c>
      <c r="O6" t="inlineStr">
        <is>
          <t>Field-8</t>
        </is>
      </c>
      <c r="P6" t="inlineStr">
        <is>
          <t>Field-9</t>
        </is>
      </c>
      <c r="Q6" t="inlineStr">
        <is>
          <t>Field-10</t>
        </is>
      </c>
      <c r="R6" t="inlineStr">
        <is>
          <t>Field-11</t>
        </is>
      </c>
      <c r="S6" t="inlineStr">
        <is>
          <t>Field-12</t>
        </is>
      </c>
      <c r="T6" t="inlineStr">
        <is>
          <t>Field-13</t>
        </is>
      </c>
      <c r="U6" t="inlineStr">
        <is>
          <t>Field-14</t>
        </is>
      </c>
      <c r="V6" t="inlineStr">
        <is>
          <t>Field-15</t>
        </is>
      </c>
      <c r="W6" t="inlineStr">
        <is>
          <t>Field-16</t>
        </is>
      </c>
      <c r="X6" t="inlineStr">
        <is>
          <t>Field-17</t>
        </is>
      </c>
      <c r="Y6" t="inlineStr">
        <is>
          <t>Field-18</t>
        </is>
      </c>
      <c r="Z6" t="inlineStr">
        <is>
          <t>Field-19</t>
        </is>
      </c>
      <c r="AA6" t="inlineStr">
        <is>
          <t>Field-20</t>
        </is>
      </c>
      <c r="AB6" t="inlineStr">
        <is>
          <t>Field-21</t>
        </is>
      </c>
      <c r="AC6" t="inlineStr">
        <is>
          <t>Field-22</t>
        </is>
      </c>
      <c r="AD6" t="inlineStr">
        <is>
          <t>Field-23</t>
        </is>
      </c>
      <c r="AE6" t="inlineStr">
        <is>
          <t>Field-24</t>
        </is>
      </c>
    </row>
    <row r="7">
      <c r="G7" s="3" t="n">
        <v>29</v>
      </c>
      <c r="H7" t="n">
        <v>1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1</v>
      </c>
      <c r="S7" t="n">
        <v>0</v>
      </c>
      <c r="T7" t="n">
        <v>3</v>
      </c>
      <c r="U7" t="n">
        <v>0</v>
      </c>
      <c r="V7" t="n">
        <v>0</v>
      </c>
      <c r="W7" t="n">
        <v>3</v>
      </c>
      <c r="X7" t="n">
        <v>1</v>
      </c>
      <c r="Y7" t="n">
        <v>0</v>
      </c>
      <c r="AG7" s="3">
        <f>AVERAGE(H7:AE7)</f>
        <v>0.8888888888888888</v>
      </c>
      <c r="AH7" s="4">
        <f>AG7*G7</f>
        <v>25.777777777777775</v>
      </c>
      <c r="AI7" t="n">
        <v>1</v>
      </c>
      <c r="AJ7">
        <f>5.4*11.6/25</f>
        <v>2.5056</v>
      </c>
      <c r="AK7" s="5">
        <f>(AH7)*1000/AJ7*AI7</f>
        <v>10288.065843621398</v>
      </c>
      <c r="AL7" s="3">
        <f>100*ABS(AH7-AH9)/AVERAGE(AH7,AH9)</f>
        <v>22.801302931596105</v>
      </c>
      <c r="AM7" s="4">
        <f>AVERAGE(AH7,AH9)</f>
        <v>29.094771241830067</v>
      </c>
      <c r="AN7" s="3" t="e">
        <f>AM7-#REF!</f>
        <v>#REF!</v>
      </c>
      <c r="AO7" s="3">
        <f>100*AM7/1500</f>
        <v>1.9396514161220044</v>
      </c>
      <c r="AP7" t="e">
        <f>100*AN7/1000</f>
        <v>#REF!</v>
      </c>
      <c r="AQ7" s="4" t="e">
        <f>AH7-#REF!</f>
        <v>#REF!</v>
      </c>
    </row>
    <row r="8">
      <c r="B8" t="inlineStr">
        <is>
          <t>Clade A</t>
        </is>
      </c>
      <c r="C8" t="inlineStr">
        <is>
          <t>S01</t>
        </is>
      </c>
      <c r="D8" t="inlineStr">
        <is>
          <t>B</t>
        </is>
      </c>
      <c r="F8">
        <f>SUM(H9:AE9)</f>
        <v>19</v>
      </c>
      <c r="H8" t="inlineStr">
        <is>
          <t>Field-1</t>
        </is>
      </c>
      <c r="I8" t="inlineStr">
        <is>
          <t>Field-2</t>
        </is>
      </c>
      <c r="J8" t="inlineStr">
        <is>
          <t>Field-3</t>
        </is>
      </c>
      <c r="K8" t="inlineStr">
        <is>
          <t>Field-4</t>
        </is>
      </c>
      <c r="L8" t="inlineStr">
        <is>
          <t>Field-5</t>
        </is>
      </c>
      <c r="M8" t="inlineStr">
        <is>
          <t>Field-6</t>
        </is>
      </c>
      <c r="N8" t="inlineStr">
        <is>
          <t>Field-7</t>
        </is>
      </c>
      <c r="O8" t="inlineStr">
        <is>
          <t>Field-8</t>
        </is>
      </c>
      <c r="P8" t="inlineStr">
        <is>
          <t>Field-9</t>
        </is>
      </c>
      <c r="Q8" t="inlineStr">
        <is>
          <t>Field-10</t>
        </is>
      </c>
      <c r="R8" t="inlineStr">
        <is>
          <t>Field-11</t>
        </is>
      </c>
      <c r="S8" t="inlineStr">
        <is>
          <t>Field-12</t>
        </is>
      </c>
      <c r="T8" t="inlineStr">
        <is>
          <t>Field-13</t>
        </is>
      </c>
      <c r="U8" t="inlineStr">
        <is>
          <t>Field-14</t>
        </is>
      </c>
      <c r="V8" t="inlineStr">
        <is>
          <t>Field-15</t>
        </is>
      </c>
      <c r="W8" t="inlineStr">
        <is>
          <t>Field-16</t>
        </is>
      </c>
      <c r="X8" t="inlineStr">
        <is>
          <t>Field-17</t>
        </is>
      </c>
      <c r="Y8" t="inlineStr">
        <is>
          <t>Field-18</t>
        </is>
      </c>
      <c r="Z8" t="inlineStr">
        <is>
          <t>Field-19</t>
        </is>
      </c>
      <c r="AA8" t="inlineStr">
        <is>
          <t>Field-20</t>
        </is>
      </c>
      <c r="AB8" t="inlineStr">
        <is>
          <t>Field-21</t>
        </is>
      </c>
      <c r="AC8" t="inlineStr">
        <is>
          <t>Field-22</t>
        </is>
      </c>
      <c r="AD8" t="inlineStr">
        <is>
          <t>Field-23</t>
        </is>
      </c>
      <c r="AE8" t="inlineStr">
        <is>
          <t>Field-24</t>
        </is>
      </c>
    </row>
    <row r="9">
      <c r="G9" s="3" t="n">
        <v>29</v>
      </c>
      <c r="H9" t="n">
        <v>0</v>
      </c>
      <c r="I9" t="n">
        <v>0</v>
      </c>
      <c r="J9" t="n">
        <v>0</v>
      </c>
      <c r="K9" t="n">
        <v>2</v>
      </c>
      <c r="L9" t="n">
        <v>3</v>
      </c>
      <c r="M9" t="n">
        <v>3</v>
      </c>
      <c r="N9" t="n">
        <v>1</v>
      </c>
      <c r="O9" t="n">
        <v>2</v>
      </c>
      <c r="P9" t="n">
        <v>1</v>
      </c>
      <c r="Q9" t="n">
        <v>3</v>
      </c>
      <c r="R9" t="n">
        <v>2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AG9" s="3">
        <f>AVERAGE(H9:AE9)</f>
        <v>1.1176470588235294</v>
      </c>
      <c r="AH9" s="4">
        <f>AG9*G9</f>
        <v>32.411764705882355</v>
      </c>
      <c r="AI9" t="n">
        <v>1</v>
      </c>
      <c r="AJ9">
        <f>5.4*11.6/25</f>
        <v>2.5056</v>
      </c>
      <c r="AK9" s="5">
        <f>(AH9)*1000/AJ9*AI9</f>
        <v>12935.729847494556</v>
      </c>
      <c r="AL9" s="3" t="n"/>
      <c r="AM9" s="4" t="e">
        <f>AVERAGE(AH9,#REF!)</f>
        <v>#REF!</v>
      </c>
      <c r="AN9" s="3" t="e">
        <f>AM9-#REF!</f>
        <v>#REF!</v>
      </c>
      <c r="AO9" s="3" t="e">
        <f>100*AM9/1500</f>
        <v>#REF!</v>
      </c>
      <c r="AP9" t="e">
        <f>100*AN9/1000</f>
        <v>#REF!</v>
      </c>
      <c r="AQ9" s="4" t="e">
        <f>AH9-#REF!</f>
        <v>#REF!</v>
      </c>
    </row>
    <row r="11">
      <c r="C11" t="inlineStr">
        <is>
          <t>03-03-2026</t>
        </is>
      </c>
      <c r="D11" t="inlineStr">
        <is>
          <t>A</t>
        </is>
      </c>
      <c r="F11">
        <f>SUM(H12:AE12)</f>
        <v>8</v>
      </c>
      <c r="H11" t="inlineStr">
        <is>
          <t>Field-1</t>
        </is>
      </c>
      <c r="I11" t="inlineStr">
        <is>
          <t>Field-2</t>
        </is>
      </c>
      <c r="J11" t="inlineStr">
        <is>
          <t>Field-3</t>
        </is>
      </c>
      <c r="K11" t="inlineStr">
        <is>
          <t>Field-4</t>
        </is>
      </c>
      <c r="L11" t="inlineStr">
        <is>
          <t>Field-5</t>
        </is>
      </c>
      <c r="M11" t="inlineStr">
        <is>
          <t>Field-6</t>
        </is>
      </c>
      <c r="N11" t="inlineStr">
        <is>
          <t>Field-7</t>
        </is>
      </c>
      <c r="O11" t="inlineStr">
        <is>
          <t>Field-8</t>
        </is>
      </c>
      <c r="P11" t="inlineStr">
        <is>
          <t>Field-9</t>
        </is>
      </c>
      <c r="Q11" t="inlineStr">
        <is>
          <t>Field-10</t>
        </is>
      </c>
      <c r="R11" t="inlineStr">
        <is>
          <t>Field-11</t>
        </is>
      </c>
      <c r="S11" t="inlineStr">
        <is>
          <t>Field-12</t>
        </is>
      </c>
      <c r="T11" t="inlineStr">
        <is>
          <t>Field-13</t>
        </is>
      </c>
      <c r="U11" t="inlineStr">
        <is>
          <t>Field-14</t>
        </is>
      </c>
      <c r="V11" t="inlineStr">
        <is>
          <t>Field-15</t>
        </is>
      </c>
      <c r="W11" t="inlineStr">
        <is>
          <t>Field-16</t>
        </is>
      </c>
      <c r="X11" t="inlineStr">
        <is>
          <t>Field-17</t>
        </is>
      </c>
      <c r="Y11" t="inlineStr">
        <is>
          <t>Field-18</t>
        </is>
      </c>
      <c r="Z11" t="inlineStr">
        <is>
          <t>Field-19</t>
        </is>
      </c>
      <c r="AA11" t="inlineStr">
        <is>
          <t>Field-20</t>
        </is>
      </c>
      <c r="AB11" t="inlineStr">
        <is>
          <t>Field-21</t>
        </is>
      </c>
      <c r="AC11" t="inlineStr">
        <is>
          <t>Field-22</t>
        </is>
      </c>
      <c r="AD11" t="inlineStr">
        <is>
          <t>Field-23</t>
        </is>
      </c>
      <c r="AE11" t="inlineStr">
        <is>
          <t>Field-24</t>
        </is>
      </c>
    </row>
    <row r="12">
      <c r="G12" s="3" t="n">
        <v>29</v>
      </c>
      <c r="H12" t="n">
        <v>3</v>
      </c>
      <c r="I12" t="n">
        <v>1</v>
      </c>
      <c r="J12" t="n">
        <v>0</v>
      </c>
      <c r="K12" t="n">
        <v>0</v>
      </c>
      <c r="L12" t="n">
        <v>1</v>
      </c>
      <c r="M12" t="n">
        <v>3</v>
      </c>
      <c r="N12" t="n">
        <v>0</v>
      </c>
      <c r="O12" t="n">
        <v>0</v>
      </c>
      <c r="AG12" s="3">
        <f>AVERAGE(H12:AE12)</f>
        <v>1</v>
      </c>
      <c r="AH12" s="4">
        <f>AG12*G12</f>
        <v>29</v>
      </c>
      <c r="AI12" t="n">
        <v>1</v>
      </c>
      <c r="AJ12">
        <f>5.4*11.6/25</f>
        <v>2.5056</v>
      </c>
      <c r="AK12" s="5">
        <f>(AH12)*1000/AJ12*AI12</f>
        <v>11574.074074074075</v>
      </c>
      <c r="AL12" s="3">
        <f>100*ABS(AH12-AH14)/AVERAGE(AH12,AH14)</f>
        <v>11.764705882352953</v>
      </c>
      <c r="AM12" s="4">
        <f>AVERAGE(AH12,AH14)</f>
        <v>27.388888888888886</v>
      </c>
      <c r="AN12" s="3" t="e">
        <f>AM12-#REF!</f>
        <v>#REF!</v>
      </c>
      <c r="AO12" s="3">
        <f>100*AM12/1500</f>
        <v>1.8259259259259257</v>
      </c>
      <c r="AP12" t="e">
        <f>100*AN12/1000</f>
        <v>#REF!</v>
      </c>
      <c r="AQ12" s="4" t="e">
        <f>AH12-#REF!</f>
        <v>#REF!</v>
      </c>
    </row>
    <row r="13">
      <c r="B13" t="inlineStr">
        <is>
          <t>Clade A</t>
        </is>
      </c>
      <c r="C13" t="inlineStr">
        <is>
          <t>S02</t>
        </is>
      </c>
      <c r="D13" t="inlineStr">
        <is>
          <t>B</t>
        </is>
      </c>
      <c r="F13">
        <f>SUM(H14:AE14)</f>
        <v>8</v>
      </c>
      <c r="H13" t="inlineStr">
        <is>
          <t>Field-1</t>
        </is>
      </c>
      <c r="I13" t="inlineStr">
        <is>
          <t>Field-2</t>
        </is>
      </c>
      <c r="J13" t="inlineStr">
        <is>
          <t>Field-3</t>
        </is>
      </c>
      <c r="K13" t="inlineStr">
        <is>
          <t>Field-4</t>
        </is>
      </c>
      <c r="L13" t="inlineStr">
        <is>
          <t>Field-5</t>
        </is>
      </c>
      <c r="M13" t="inlineStr">
        <is>
          <t>Field-6</t>
        </is>
      </c>
      <c r="N13" t="inlineStr">
        <is>
          <t>Field-7</t>
        </is>
      </c>
      <c r="O13" t="inlineStr">
        <is>
          <t>Field-8</t>
        </is>
      </c>
      <c r="P13" t="inlineStr">
        <is>
          <t>Field-9</t>
        </is>
      </c>
      <c r="Q13" t="inlineStr">
        <is>
          <t>Field-10</t>
        </is>
      </c>
      <c r="R13" t="inlineStr">
        <is>
          <t>Field-11</t>
        </is>
      </c>
      <c r="S13" t="inlineStr">
        <is>
          <t>Field-12</t>
        </is>
      </c>
      <c r="T13" t="inlineStr">
        <is>
          <t>Field-13</t>
        </is>
      </c>
      <c r="U13" t="inlineStr">
        <is>
          <t>Field-14</t>
        </is>
      </c>
      <c r="V13" t="inlineStr">
        <is>
          <t>Field-15</t>
        </is>
      </c>
      <c r="W13" t="inlineStr">
        <is>
          <t>Field-16</t>
        </is>
      </c>
      <c r="X13" t="inlineStr">
        <is>
          <t>Field-17</t>
        </is>
      </c>
      <c r="Y13" t="inlineStr">
        <is>
          <t>Field-18</t>
        </is>
      </c>
      <c r="Z13" t="inlineStr">
        <is>
          <t>Field-19</t>
        </is>
      </c>
      <c r="AA13" t="inlineStr">
        <is>
          <t>Field-20</t>
        </is>
      </c>
      <c r="AB13" t="inlineStr">
        <is>
          <t>Field-21</t>
        </is>
      </c>
      <c r="AC13" t="inlineStr">
        <is>
          <t>Field-22</t>
        </is>
      </c>
      <c r="AD13" t="inlineStr">
        <is>
          <t>Field-23</t>
        </is>
      </c>
      <c r="AE13" t="inlineStr">
        <is>
          <t>Field-24</t>
        </is>
      </c>
    </row>
    <row r="14">
      <c r="G14" s="3" t="n">
        <v>29</v>
      </c>
      <c r="H14" t="n">
        <v>3</v>
      </c>
      <c r="I14" t="n">
        <v>1</v>
      </c>
      <c r="J14" t="n">
        <v>0</v>
      </c>
      <c r="K14" t="n">
        <v>0</v>
      </c>
      <c r="L14" t="n">
        <v>1</v>
      </c>
      <c r="M14" t="n">
        <v>2</v>
      </c>
      <c r="N14" t="n">
        <v>0</v>
      </c>
      <c r="O14" t="n">
        <v>0</v>
      </c>
      <c r="P14" t="n">
        <v>1</v>
      </c>
      <c r="AG14" s="3">
        <f>AVERAGE(H14:AE14)</f>
        <v>0.8888888888888888</v>
      </c>
      <c r="AH14" s="4">
        <f>AG14*G14</f>
        <v>25.777777777777775</v>
      </c>
      <c r="AI14" t="n">
        <v>1</v>
      </c>
      <c r="AJ14">
        <f>5.4*11.6/25</f>
        <v>2.5056</v>
      </c>
      <c r="AK14" s="5">
        <f>(AH14)*1000/AJ14*AI14</f>
        <v>10288.065843621398</v>
      </c>
      <c r="AL14" s="3" t="n"/>
      <c r="AM14" s="4" t="e">
        <f>AVERAGE(AH14,#REF!)</f>
        <v>#REF!</v>
      </c>
      <c r="AN14" s="3" t="e">
        <f>AM14-#REF!</f>
        <v>#REF!</v>
      </c>
      <c r="AO14" s="3" t="e">
        <f>100*AM14/1500</f>
        <v>#REF!</v>
      </c>
      <c r="AP14" t="e">
        <f>100*AN14/1000</f>
        <v>#REF!</v>
      </c>
      <c r="AQ14" s="4" t="e">
        <f>AH14-#REF!</f>
        <v>#REF!</v>
      </c>
    </row>
    <row r="16">
      <c r="C16" t="inlineStr">
        <is>
          <t>03-03-2026</t>
        </is>
      </c>
      <c r="D16" t="inlineStr">
        <is>
          <t>A</t>
        </is>
      </c>
      <c r="E16" t="n">
        <v>1</v>
      </c>
      <c r="F16">
        <f>SUM(H17:AE17)</f>
        <v>11</v>
      </c>
      <c r="H16" t="inlineStr">
        <is>
          <t>Field-1</t>
        </is>
      </c>
      <c r="I16" t="inlineStr">
        <is>
          <t>Field-2</t>
        </is>
      </c>
      <c r="J16" t="inlineStr">
        <is>
          <t>Field-3</t>
        </is>
      </c>
      <c r="K16" t="inlineStr">
        <is>
          <t>Field-4</t>
        </is>
      </c>
      <c r="L16" t="inlineStr">
        <is>
          <t>Field-5</t>
        </is>
      </c>
      <c r="M16" t="inlineStr">
        <is>
          <t>Field-6</t>
        </is>
      </c>
      <c r="N16" t="inlineStr">
        <is>
          <t>Field-7</t>
        </is>
      </c>
      <c r="O16" t="inlineStr">
        <is>
          <t>Field-8</t>
        </is>
      </c>
      <c r="P16" t="inlineStr">
        <is>
          <t>Field-9</t>
        </is>
      </c>
      <c r="Q16" t="inlineStr">
        <is>
          <t>Field-10</t>
        </is>
      </c>
      <c r="R16" t="inlineStr">
        <is>
          <t>Field-11</t>
        </is>
      </c>
      <c r="S16" t="inlineStr">
        <is>
          <t>Field-12</t>
        </is>
      </c>
      <c r="T16" t="inlineStr">
        <is>
          <t>Field-13</t>
        </is>
      </c>
      <c r="U16" t="inlineStr">
        <is>
          <t>Field-14</t>
        </is>
      </c>
      <c r="V16" t="inlineStr">
        <is>
          <t>Field-15</t>
        </is>
      </c>
      <c r="W16" t="inlineStr">
        <is>
          <t>Field-16</t>
        </is>
      </c>
      <c r="X16" t="inlineStr">
        <is>
          <t>Field-17</t>
        </is>
      </c>
      <c r="Y16" t="inlineStr">
        <is>
          <t>Field-18</t>
        </is>
      </c>
      <c r="Z16" t="inlineStr">
        <is>
          <t>Field-19</t>
        </is>
      </c>
      <c r="AA16" t="inlineStr">
        <is>
          <t>Field-20</t>
        </is>
      </c>
      <c r="AB16" t="inlineStr">
        <is>
          <t>Field-21</t>
        </is>
      </c>
      <c r="AC16" t="inlineStr">
        <is>
          <t>Field-22</t>
        </is>
      </c>
      <c r="AD16" t="inlineStr">
        <is>
          <t>Field-23</t>
        </is>
      </c>
      <c r="AE16" t="inlineStr">
        <is>
          <t>Field-24</t>
        </is>
      </c>
    </row>
    <row r="17">
      <c r="G17" s="3" t="n">
        <v>29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G17" s="3">
        <f>AVERAGE(H17:AE17)</f>
        <v>0.5789473684210527</v>
      </c>
      <c r="AH17" s="4">
        <f>AG17*G17</f>
        <v>16.789473684210527</v>
      </c>
      <c r="AI17" t="n">
        <v>1</v>
      </c>
      <c r="AJ17">
        <f>5.4*11.6/25</f>
        <v>2.5056</v>
      </c>
      <c r="AK17" s="5">
        <f>(AH17)*1000/AJ17*AI17</f>
        <v>6700.779727095517</v>
      </c>
      <c r="AL17" s="3">
        <f>100*ABS(AH17-AH19)/AVERAGE(AH17,AH19)</f>
        <v>61.318051575931214</v>
      </c>
      <c r="AM17" s="4">
        <f>AVERAGE(AH17,AH19)</f>
        <v>24.21291866028708</v>
      </c>
      <c r="AN17" s="3" t="e">
        <f>AM17-#REF!</f>
        <v>#REF!</v>
      </c>
      <c r="AO17" s="3">
        <f>100*AM17/1500</f>
        <v>1.6141945773524722</v>
      </c>
      <c r="AP17" t="e">
        <f>100*AN17/1000</f>
        <v>#REF!</v>
      </c>
      <c r="AQ17" s="4" t="e">
        <f>AH17-#REF!</f>
        <v>#REF!</v>
      </c>
    </row>
    <row r="18">
      <c r="B18" t="inlineStr">
        <is>
          <t>Clade A</t>
        </is>
      </c>
      <c r="C18" t="inlineStr">
        <is>
          <t>S03</t>
        </is>
      </c>
      <c r="D18" t="inlineStr">
        <is>
          <t>B</t>
        </is>
      </c>
      <c r="F18">
        <f>SUM(H19:AE19)</f>
        <v>12</v>
      </c>
      <c r="H18" t="inlineStr">
        <is>
          <t>Field-1</t>
        </is>
      </c>
      <c r="I18" t="inlineStr">
        <is>
          <t>Field-2</t>
        </is>
      </c>
      <c r="J18" t="inlineStr">
        <is>
          <t>Field-3</t>
        </is>
      </c>
      <c r="K18" t="inlineStr">
        <is>
          <t>Field-4</t>
        </is>
      </c>
      <c r="L18" t="inlineStr">
        <is>
          <t>Field-5</t>
        </is>
      </c>
      <c r="M18" t="inlineStr">
        <is>
          <t>Field-6</t>
        </is>
      </c>
      <c r="N18" t="inlineStr">
        <is>
          <t>Field-7</t>
        </is>
      </c>
      <c r="O18" t="inlineStr">
        <is>
          <t>Field-8</t>
        </is>
      </c>
      <c r="P18" t="inlineStr">
        <is>
          <t>Field-9</t>
        </is>
      </c>
      <c r="Q18" t="inlineStr">
        <is>
          <t>Field-10</t>
        </is>
      </c>
      <c r="R18" t="inlineStr">
        <is>
          <t>Field-11</t>
        </is>
      </c>
      <c r="S18" t="inlineStr">
        <is>
          <t>Field-12</t>
        </is>
      </c>
      <c r="T18" t="inlineStr">
        <is>
          <t>Field-13</t>
        </is>
      </c>
      <c r="U18" t="inlineStr">
        <is>
          <t>Field-14</t>
        </is>
      </c>
      <c r="V18" t="inlineStr">
        <is>
          <t>Field-15</t>
        </is>
      </c>
      <c r="W18" t="inlineStr">
        <is>
          <t>Field-16</t>
        </is>
      </c>
      <c r="X18" t="inlineStr">
        <is>
          <t>Field-17</t>
        </is>
      </c>
      <c r="Y18" t="inlineStr">
        <is>
          <t>Field-18</t>
        </is>
      </c>
      <c r="Z18" t="inlineStr">
        <is>
          <t>Field-19</t>
        </is>
      </c>
      <c r="AA18" t="inlineStr">
        <is>
          <t>Field-20</t>
        </is>
      </c>
      <c r="AB18" t="inlineStr">
        <is>
          <t>Field-21</t>
        </is>
      </c>
      <c r="AC18" t="inlineStr">
        <is>
          <t>Field-22</t>
        </is>
      </c>
      <c r="AD18" t="inlineStr">
        <is>
          <t>Field-23</t>
        </is>
      </c>
      <c r="AE18" t="inlineStr">
        <is>
          <t>Field-24</t>
        </is>
      </c>
    </row>
    <row r="19">
      <c r="G19" s="3" t="n">
        <v>29</v>
      </c>
      <c r="H19" t="n">
        <v>3</v>
      </c>
      <c r="I19" t="n">
        <v>3</v>
      </c>
      <c r="J19" t="n">
        <v>1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AG19" s="3">
        <f>AVERAGE(H19:AE19)</f>
        <v>1.0909090909090908</v>
      </c>
      <c r="AH19" s="4">
        <f>AG19*G19</f>
        <v>31.636363636363633</v>
      </c>
      <c r="AI19" t="n">
        <v>1</v>
      </c>
      <c r="AJ19">
        <f>5.4*11.6/25</f>
        <v>2.5056</v>
      </c>
      <c r="AK19" s="5">
        <f>(AH19)*1000/AJ19*AI19</f>
        <v>12626.262626262625</v>
      </c>
      <c r="AL19" s="3" t="n"/>
      <c r="AM19" s="4" t="e">
        <f>AVERAGE(AH19,#REF!)</f>
        <v>#REF!</v>
      </c>
      <c r="AN19" s="3" t="e">
        <f>AM19-#REF!</f>
        <v>#REF!</v>
      </c>
      <c r="AO19" s="3" t="e">
        <f>100*AM19/1500</f>
        <v>#REF!</v>
      </c>
      <c r="AP19" t="e">
        <f>100*AN19/1000</f>
        <v>#REF!</v>
      </c>
      <c r="AQ19" s="4" t="e">
        <f>AH19-#REF!</f>
        <v>#REF!</v>
      </c>
    </row>
    <row r="21">
      <c r="C21" t="inlineStr">
        <is>
          <t>03-03-2026</t>
        </is>
      </c>
      <c r="D21" t="inlineStr">
        <is>
          <t>A</t>
        </is>
      </c>
      <c r="E21" t="n">
        <v>0</v>
      </c>
      <c r="F21">
        <f>SUM(H22:AE22)</f>
        <v>6</v>
      </c>
      <c r="H21" t="inlineStr">
        <is>
          <t>Field-1</t>
        </is>
      </c>
      <c r="I21" t="inlineStr">
        <is>
          <t>Field-2</t>
        </is>
      </c>
      <c r="J21" t="inlineStr">
        <is>
          <t>Field-3</t>
        </is>
      </c>
      <c r="K21" t="inlineStr">
        <is>
          <t>Field-4</t>
        </is>
      </c>
      <c r="L21" t="inlineStr">
        <is>
          <t>Field-5</t>
        </is>
      </c>
      <c r="M21" t="inlineStr">
        <is>
          <t>Field-6</t>
        </is>
      </c>
      <c r="N21" t="inlineStr">
        <is>
          <t>Field-7</t>
        </is>
      </c>
      <c r="O21" t="inlineStr">
        <is>
          <t>Field-8</t>
        </is>
      </c>
      <c r="P21" t="inlineStr">
        <is>
          <t>Field-9</t>
        </is>
      </c>
      <c r="Q21" t="inlineStr">
        <is>
          <t>Field-10</t>
        </is>
      </c>
      <c r="R21" t="inlineStr">
        <is>
          <t>Field-11</t>
        </is>
      </c>
      <c r="S21" t="inlineStr">
        <is>
          <t>Field-12</t>
        </is>
      </c>
      <c r="T21" t="inlineStr">
        <is>
          <t>Field-13</t>
        </is>
      </c>
      <c r="U21" t="inlineStr">
        <is>
          <t>Field-14</t>
        </is>
      </c>
      <c r="V21" t="inlineStr">
        <is>
          <t>Field-15</t>
        </is>
      </c>
      <c r="W21" t="inlineStr">
        <is>
          <t>Field-16</t>
        </is>
      </c>
      <c r="X21" t="inlineStr">
        <is>
          <t>Field-17</t>
        </is>
      </c>
      <c r="Y21" t="inlineStr">
        <is>
          <t>Field-18</t>
        </is>
      </c>
      <c r="Z21" t="inlineStr">
        <is>
          <t>Field-19</t>
        </is>
      </c>
      <c r="AA21" t="inlineStr">
        <is>
          <t>Field-20</t>
        </is>
      </c>
      <c r="AB21" t="inlineStr">
        <is>
          <t>Field-21</t>
        </is>
      </c>
      <c r="AC21" t="inlineStr">
        <is>
          <t>Field-22</t>
        </is>
      </c>
      <c r="AD21" t="inlineStr">
        <is>
          <t>Field-23</t>
        </is>
      </c>
      <c r="AE21" t="inlineStr">
        <is>
          <t>Field-24</t>
        </is>
      </c>
    </row>
    <row r="22">
      <c r="G22" s="3" t="n">
        <v>29</v>
      </c>
      <c r="H22" t="n">
        <v>1</v>
      </c>
      <c r="I22" t="n">
        <v>0</v>
      </c>
      <c r="J22" t="n">
        <v>0</v>
      </c>
      <c r="K22" t="n">
        <v>0</v>
      </c>
      <c r="L22" t="n">
        <v>2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AG22" s="3">
        <f>AVERAGE(H22:AE22)</f>
        <v>0.5</v>
      </c>
      <c r="AH22" s="4">
        <f>AG22*G22</f>
        <v>14.5</v>
      </c>
      <c r="AI22" t="n">
        <v>1</v>
      </c>
      <c r="AJ22">
        <f>5.4*11.6/25</f>
        <v>2.5056</v>
      </c>
      <c r="AK22" s="5">
        <f>(AH22)*1000/AJ22*AI22</f>
        <v>5787.037037037037</v>
      </c>
      <c r="AL22" s="3">
        <f>100*ABS(AH22-AH24)/AVERAGE(AH22,AH24)</f>
        <v>51.42857142857143</v>
      </c>
      <c r="AM22" s="4">
        <f>AVERAGE(AH22,AH24)</f>
        <v>19.519230769230766</v>
      </c>
      <c r="AN22" s="3" t="e">
        <f>AM22-#REF!</f>
        <v>#REF!</v>
      </c>
      <c r="AO22" s="3">
        <f>100*AM22/1500</f>
        <v>1.301282051282051</v>
      </c>
      <c r="AP22" t="e">
        <f>100*AN22/1000</f>
        <v>#REF!</v>
      </c>
      <c r="AQ22" s="4" t="e">
        <f>AH22-#REF!</f>
        <v>#REF!</v>
      </c>
    </row>
    <row r="23">
      <c r="B23" t="inlineStr">
        <is>
          <t>Clade A</t>
        </is>
      </c>
      <c r="C23" t="inlineStr">
        <is>
          <t>S04</t>
        </is>
      </c>
      <c r="D23" t="inlineStr">
        <is>
          <t>B</t>
        </is>
      </c>
      <c r="F23">
        <f>SUM(H24:AE24)</f>
        <v>11</v>
      </c>
      <c r="H23" t="inlineStr">
        <is>
          <t>Field-1</t>
        </is>
      </c>
      <c r="I23" t="inlineStr">
        <is>
          <t>Field-2</t>
        </is>
      </c>
      <c r="J23" t="inlineStr">
        <is>
          <t>Field-3</t>
        </is>
      </c>
      <c r="K23" t="inlineStr">
        <is>
          <t>Field-4</t>
        </is>
      </c>
      <c r="L23" t="inlineStr">
        <is>
          <t>Field-5</t>
        </is>
      </c>
      <c r="M23" t="inlineStr">
        <is>
          <t>Field-6</t>
        </is>
      </c>
      <c r="N23" t="inlineStr">
        <is>
          <t>Field-7</t>
        </is>
      </c>
      <c r="O23" t="inlineStr">
        <is>
          <t>Field-8</t>
        </is>
      </c>
      <c r="P23" t="inlineStr">
        <is>
          <t>Field-9</t>
        </is>
      </c>
      <c r="Q23" t="inlineStr">
        <is>
          <t>Field-10</t>
        </is>
      </c>
      <c r="R23" t="inlineStr">
        <is>
          <t>Field-11</t>
        </is>
      </c>
      <c r="S23" t="inlineStr">
        <is>
          <t>Field-12</t>
        </is>
      </c>
      <c r="T23" t="inlineStr">
        <is>
          <t>Field-13</t>
        </is>
      </c>
      <c r="U23" t="inlineStr">
        <is>
          <t>Field-14</t>
        </is>
      </c>
      <c r="V23" t="inlineStr">
        <is>
          <t>Field-15</t>
        </is>
      </c>
      <c r="W23" t="inlineStr">
        <is>
          <t>Field-16</t>
        </is>
      </c>
      <c r="X23" t="inlineStr">
        <is>
          <t>Field-17</t>
        </is>
      </c>
      <c r="Y23" t="inlineStr">
        <is>
          <t>Field-18</t>
        </is>
      </c>
      <c r="Z23" t="inlineStr">
        <is>
          <t>Field-19</t>
        </is>
      </c>
      <c r="AA23" t="inlineStr">
        <is>
          <t>Field-20</t>
        </is>
      </c>
      <c r="AB23" t="inlineStr">
        <is>
          <t>Field-21</t>
        </is>
      </c>
      <c r="AC23" t="inlineStr">
        <is>
          <t>Field-22</t>
        </is>
      </c>
      <c r="AD23" t="inlineStr">
        <is>
          <t>Field-23</t>
        </is>
      </c>
      <c r="AE23" t="inlineStr">
        <is>
          <t>Field-24</t>
        </is>
      </c>
    </row>
    <row r="24">
      <c r="G24" s="3" t="n">
        <v>29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3</v>
      </c>
      <c r="N24" t="n">
        <v>2</v>
      </c>
      <c r="O24" t="n">
        <v>0</v>
      </c>
      <c r="P24" t="n">
        <v>3</v>
      </c>
      <c r="Q24" t="n">
        <v>0</v>
      </c>
      <c r="R24" t="n">
        <v>0</v>
      </c>
      <c r="S24" t="n">
        <v>1</v>
      </c>
      <c r="T24" t="n">
        <v>1</v>
      </c>
      <c r="AG24" s="3">
        <f>AVERAGE(H24:AE24)</f>
        <v>0.8461538461538461</v>
      </c>
      <c r="AH24" s="4">
        <f>AG24*G24</f>
        <v>24.538461538461537</v>
      </c>
      <c r="AI24" t="n">
        <v>1</v>
      </c>
      <c r="AJ24">
        <f>5.4*11.6/25</f>
        <v>2.5056</v>
      </c>
      <c r="AK24" s="5">
        <f>(AH24)*1000/AJ24*AI24</f>
        <v>9793.447293447292</v>
      </c>
      <c r="AL24" s="3" t="n"/>
      <c r="AM24" s="4" t="e">
        <f>AVERAGE(AH24,#REF!)</f>
        <v>#REF!</v>
      </c>
      <c r="AN24" s="3" t="e">
        <f>AM24-#REF!</f>
        <v>#REF!</v>
      </c>
      <c r="AO24" s="3" t="e">
        <f>100*AM24/1500</f>
        <v>#REF!</v>
      </c>
      <c r="AP24" t="e">
        <f>100*AN24/1000</f>
        <v>#REF!</v>
      </c>
      <c r="AQ24" s="4" t="e">
        <f>AH24-#REF!</f>
        <v>#REF!</v>
      </c>
    </row>
    <row r="26">
      <c r="C26" t="inlineStr">
        <is>
          <t>03-03-2026</t>
        </is>
      </c>
      <c r="D26" t="inlineStr">
        <is>
          <t>A</t>
        </is>
      </c>
      <c r="F26">
        <f>SUM(H27:AE27)</f>
        <v>5</v>
      </c>
      <c r="H26" t="inlineStr">
        <is>
          <t>Field-1</t>
        </is>
      </c>
      <c r="I26" t="inlineStr">
        <is>
          <t>Field-2</t>
        </is>
      </c>
      <c r="J26" t="inlineStr">
        <is>
          <t>Field-3</t>
        </is>
      </c>
      <c r="K26" t="inlineStr">
        <is>
          <t>Field-4</t>
        </is>
      </c>
      <c r="L26" t="inlineStr">
        <is>
          <t>Field-5</t>
        </is>
      </c>
      <c r="M26" t="inlineStr">
        <is>
          <t>Field-6</t>
        </is>
      </c>
      <c r="N26" t="inlineStr">
        <is>
          <t>Field-7</t>
        </is>
      </c>
      <c r="O26" t="inlineStr">
        <is>
          <t>Field-8</t>
        </is>
      </c>
      <c r="P26" t="inlineStr">
        <is>
          <t>Field-9</t>
        </is>
      </c>
      <c r="Q26" t="inlineStr">
        <is>
          <t>Field-10</t>
        </is>
      </c>
      <c r="R26" t="inlineStr">
        <is>
          <t>Field-11</t>
        </is>
      </c>
      <c r="S26" t="inlineStr">
        <is>
          <t>Field-12</t>
        </is>
      </c>
      <c r="T26" t="inlineStr">
        <is>
          <t>Field-13</t>
        </is>
      </c>
      <c r="U26" t="inlineStr">
        <is>
          <t>Field-14</t>
        </is>
      </c>
      <c r="V26" t="inlineStr">
        <is>
          <t>Field-15</t>
        </is>
      </c>
      <c r="W26" t="inlineStr">
        <is>
          <t>Field-16</t>
        </is>
      </c>
      <c r="X26" t="inlineStr">
        <is>
          <t>Field-17</t>
        </is>
      </c>
      <c r="Y26" t="inlineStr">
        <is>
          <t>Field-18</t>
        </is>
      </c>
      <c r="Z26" t="inlineStr">
        <is>
          <t>Field-19</t>
        </is>
      </c>
      <c r="AA26" t="inlineStr">
        <is>
          <t>Field-20</t>
        </is>
      </c>
      <c r="AB26" t="inlineStr">
        <is>
          <t>Field-21</t>
        </is>
      </c>
      <c r="AC26" t="inlineStr">
        <is>
          <t>Field-22</t>
        </is>
      </c>
      <c r="AD26" t="inlineStr">
        <is>
          <t>Field-23</t>
        </is>
      </c>
      <c r="AE26" t="inlineStr">
        <is>
          <t>Field-24</t>
        </is>
      </c>
    </row>
    <row r="27">
      <c r="G27" s="3" t="n">
        <v>29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AG27" s="3">
        <f>AVERAGE(H27:AE27)</f>
        <v>0.5</v>
      </c>
      <c r="AH27" s="4">
        <f>AG27*G27</f>
        <v>14.5</v>
      </c>
      <c r="AI27" t="n">
        <v>1</v>
      </c>
      <c r="AJ27">
        <f>5.4*11.6/25</f>
        <v>2.5056</v>
      </c>
      <c r="AK27" s="5">
        <f>(AH27)*1000/AJ27*AI27</f>
        <v>5787.037037037037</v>
      </c>
      <c r="AL27" s="3">
        <f>100*ABS(AH27-AH29)/AVERAGE(AH27,AH29)</f>
        <v>100</v>
      </c>
      <c r="AM27" s="4">
        <f>AVERAGE(AH27,AH29)</f>
        <v>29</v>
      </c>
      <c r="AN27" s="3" t="e">
        <f>AM27-#REF!</f>
        <v>#REF!</v>
      </c>
      <c r="AO27" s="3">
        <f>100*AM27/1500</f>
        <v>1.9333333333333333</v>
      </c>
      <c r="AP27" t="e">
        <f>100*AN27/1000</f>
        <v>#REF!</v>
      </c>
      <c r="AQ27" s="4" t="e">
        <f>AH27-#REF!</f>
        <v>#REF!</v>
      </c>
    </row>
    <row r="28">
      <c r="B28" t="inlineStr">
        <is>
          <t>Clade A</t>
        </is>
      </c>
      <c r="C28" t="inlineStr">
        <is>
          <t>S05</t>
        </is>
      </c>
      <c r="D28" t="inlineStr">
        <is>
          <t>B</t>
        </is>
      </c>
      <c r="F28">
        <f>SUM(H29:AE29)</f>
        <v>15</v>
      </c>
      <c r="H28" t="inlineStr">
        <is>
          <t>Field-1</t>
        </is>
      </c>
      <c r="I28" t="inlineStr">
        <is>
          <t>Field-2</t>
        </is>
      </c>
      <c r="J28" t="inlineStr">
        <is>
          <t>Field-3</t>
        </is>
      </c>
      <c r="K28" t="inlineStr">
        <is>
          <t>Field-4</t>
        </is>
      </c>
      <c r="L28" t="inlineStr">
        <is>
          <t>Field-5</t>
        </is>
      </c>
      <c r="M28" t="inlineStr">
        <is>
          <t>Field-6</t>
        </is>
      </c>
      <c r="N28" t="inlineStr">
        <is>
          <t>Field-7</t>
        </is>
      </c>
      <c r="O28" t="inlineStr">
        <is>
          <t>Field-8</t>
        </is>
      </c>
      <c r="P28" t="inlineStr">
        <is>
          <t>Field-9</t>
        </is>
      </c>
      <c r="Q28" t="inlineStr">
        <is>
          <t>Field-10</t>
        </is>
      </c>
      <c r="R28" t="inlineStr">
        <is>
          <t>Field-11</t>
        </is>
      </c>
      <c r="S28" t="inlineStr">
        <is>
          <t>Field-12</t>
        </is>
      </c>
      <c r="T28" t="inlineStr">
        <is>
          <t>Field-13</t>
        </is>
      </c>
      <c r="U28" t="inlineStr">
        <is>
          <t>Field-14</t>
        </is>
      </c>
      <c r="V28" t="inlineStr">
        <is>
          <t>Field-15</t>
        </is>
      </c>
      <c r="W28" t="inlineStr">
        <is>
          <t>Field-16</t>
        </is>
      </c>
      <c r="X28" t="inlineStr">
        <is>
          <t>Field-17</t>
        </is>
      </c>
      <c r="Y28" t="inlineStr">
        <is>
          <t>Field-18</t>
        </is>
      </c>
      <c r="Z28" t="inlineStr">
        <is>
          <t>Field-19</t>
        </is>
      </c>
      <c r="AA28" t="inlineStr">
        <is>
          <t>Field-20</t>
        </is>
      </c>
      <c r="AB28" t="inlineStr">
        <is>
          <t>Field-21</t>
        </is>
      </c>
      <c r="AC28" t="inlineStr">
        <is>
          <t>Field-22</t>
        </is>
      </c>
      <c r="AD28" t="inlineStr">
        <is>
          <t>Field-23</t>
        </is>
      </c>
      <c r="AE28" t="inlineStr">
        <is>
          <t>Field-24</t>
        </is>
      </c>
    </row>
    <row r="29">
      <c r="G29" s="3" t="n">
        <v>29</v>
      </c>
      <c r="H29" t="n">
        <v>3</v>
      </c>
      <c r="I29" t="n">
        <v>1</v>
      </c>
      <c r="J29" t="n">
        <v>1</v>
      </c>
      <c r="K29" t="n">
        <v>3</v>
      </c>
      <c r="L29" t="n">
        <v>2</v>
      </c>
      <c r="M29" t="n">
        <v>0</v>
      </c>
      <c r="N29" t="n">
        <v>2</v>
      </c>
      <c r="O29" t="n">
        <v>2</v>
      </c>
      <c r="P29" t="n">
        <v>1</v>
      </c>
      <c r="Q29" t="n">
        <v>0</v>
      </c>
      <c r="AG29" s="3">
        <f>AVERAGE(H29:AE29)</f>
        <v>1.5</v>
      </c>
      <c r="AH29" s="4">
        <f>AG29*G29</f>
        <v>43.5</v>
      </c>
      <c r="AI29" t="n">
        <v>1</v>
      </c>
      <c r="AJ29">
        <f>5.4*11.6/25</f>
        <v>2.5056</v>
      </c>
      <c r="AK29" s="5">
        <f>(AH29)*1000/AJ29*AI29</f>
        <v>17361.111111111113</v>
      </c>
      <c r="AL29" s="3" t="n"/>
      <c r="AM29" s="4" t="e">
        <f>AVERAGE(AH29,#REF!)</f>
        <v>#REF!</v>
      </c>
      <c r="AN29" s="3" t="e">
        <f>AM29-#REF!</f>
        <v>#REF!</v>
      </c>
      <c r="AO29" s="3" t="e">
        <f>100*AM29/1500</f>
        <v>#REF!</v>
      </c>
      <c r="AP29" t="e">
        <f>100*AN29/1000</f>
        <v>#REF!</v>
      </c>
      <c r="AQ29" s="4" t="e">
        <f>AH29-#REF!</f>
        <v>#REF!</v>
      </c>
    </row>
    <row r="31">
      <c r="C31" t="inlineStr">
        <is>
          <t>03-03-2026</t>
        </is>
      </c>
      <c r="D31" t="inlineStr">
        <is>
          <t>A</t>
        </is>
      </c>
      <c r="F31">
        <f>SUM(H32:AE32)</f>
        <v>9</v>
      </c>
      <c r="H31" t="inlineStr">
        <is>
          <t>Field-1</t>
        </is>
      </c>
      <c r="I31" t="inlineStr">
        <is>
          <t>Field-2</t>
        </is>
      </c>
      <c r="J31" t="inlineStr">
        <is>
          <t>Field-3</t>
        </is>
      </c>
      <c r="K31" t="inlineStr">
        <is>
          <t>Field-4</t>
        </is>
      </c>
      <c r="L31" t="inlineStr">
        <is>
          <t>Field-5</t>
        </is>
      </c>
      <c r="M31" t="inlineStr">
        <is>
          <t>Field-6</t>
        </is>
      </c>
      <c r="N31" t="inlineStr">
        <is>
          <t>Field-7</t>
        </is>
      </c>
      <c r="O31" t="inlineStr">
        <is>
          <t>Field-8</t>
        </is>
      </c>
      <c r="P31" t="inlineStr">
        <is>
          <t>Field-9</t>
        </is>
      </c>
      <c r="Q31" t="inlineStr">
        <is>
          <t>Field-10</t>
        </is>
      </c>
      <c r="R31" t="inlineStr">
        <is>
          <t>Field-11</t>
        </is>
      </c>
      <c r="S31" t="inlineStr">
        <is>
          <t>Field-12</t>
        </is>
      </c>
      <c r="T31" t="inlineStr">
        <is>
          <t>Field-13</t>
        </is>
      </c>
      <c r="U31" t="inlineStr">
        <is>
          <t>Field-14</t>
        </is>
      </c>
      <c r="V31" t="inlineStr">
        <is>
          <t>Field-15</t>
        </is>
      </c>
      <c r="W31" t="inlineStr">
        <is>
          <t>Field-16</t>
        </is>
      </c>
      <c r="X31" t="inlineStr">
        <is>
          <t>Field-17</t>
        </is>
      </c>
      <c r="Y31" t="inlineStr">
        <is>
          <t>Field-18</t>
        </is>
      </c>
      <c r="Z31" t="inlineStr">
        <is>
          <t>Field-19</t>
        </is>
      </c>
      <c r="AA31" t="inlineStr">
        <is>
          <t>Field-20</t>
        </is>
      </c>
      <c r="AB31" t="inlineStr">
        <is>
          <t>Field-21</t>
        </is>
      </c>
      <c r="AC31" t="inlineStr">
        <is>
          <t>Field-22</t>
        </is>
      </c>
      <c r="AD31" t="inlineStr">
        <is>
          <t>Field-23</t>
        </is>
      </c>
      <c r="AE31" t="inlineStr">
        <is>
          <t>Field-24</t>
        </is>
      </c>
    </row>
    <row r="32">
      <c r="G32" s="3" t="n">
        <v>29</v>
      </c>
      <c r="H32" t="n">
        <v>1</v>
      </c>
      <c r="I32" t="n">
        <v>0</v>
      </c>
      <c r="J32" t="n">
        <v>0</v>
      </c>
      <c r="K32" t="n">
        <v>2</v>
      </c>
      <c r="L32" t="n">
        <v>0</v>
      </c>
      <c r="M32" t="n">
        <v>1</v>
      </c>
      <c r="N32" t="n">
        <v>0</v>
      </c>
      <c r="O32" t="n">
        <v>1</v>
      </c>
      <c r="P32" t="n">
        <v>2</v>
      </c>
      <c r="Q32" t="n">
        <v>0</v>
      </c>
      <c r="R32" t="n">
        <v>2</v>
      </c>
      <c r="AG32" s="3">
        <f>AVERAGE(H32:AE32)</f>
        <v>0.8181818181818182</v>
      </c>
      <c r="AH32" s="4">
        <f>AG32*G32</f>
        <v>23.72727272727273</v>
      </c>
      <c r="AI32" t="n">
        <v>1</v>
      </c>
      <c r="AJ32">
        <f>5.4*11.6/25</f>
        <v>2.5056</v>
      </c>
      <c r="AK32" s="5">
        <f>(AH32)*1000/AJ32*AI32</f>
        <v>9469.696969696972</v>
      </c>
      <c r="AL32" s="3">
        <f>100*ABS(AH32-AH34)/AVERAGE(AH32,AH34)</f>
        <v>9.523809523809518</v>
      </c>
      <c r="AM32" s="4">
        <f>AVERAGE(AH32,AH34)</f>
        <v>24.913636363636364</v>
      </c>
      <c r="AN32" s="3" t="e">
        <f>AM32-#REF!</f>
        <v>#REF!</v>
      </c>
      <c r="AO32" s="3">
        <f>100*AM32/1500</f>
        <v>1.660909090909091</v>
      </c>
      <c r="AP32" t="e">
        <f>100*AN32/1000</f>
        <v>#REF!</v>
      </c>
      <c r="AQ32" s="4" t="e">
        <f>AH32-#REF!</f>
        <v>#REF!</v>
      </c>
    </row>
    <row r="33">
      <c r="B33" t="inlineStr">
        <is>
          <t>Clade A</t>
        </is>
      </c>
      <c r="C33" t="inlineStr">
        <is>
          <t>S06</t>
        </is>
      </c>
      <c r="D33" t="inlineStr">
        <is>
          <t>B</t>
        </is>
      </c>
      <c r="F33">
        <f>SUM(H34:AE34)</f>
        <v>18</v>
      </c>
      <c r="H33" t="inlineStr">
        <is>
          <t>Field-1</t>
        </is>
      </c>
      <c r="I33" t="inlineStr">
        <is>
          <t>Field-2</t>
        </is>
      </c>
      <c r="J33" t="inlineStr">
        <is>
          <t>Field-3</t>
        </is>
      </c>
      <c r="K33" t="inlineStr">
        <is>
          <t>Field-4</t>
        </is>
      </c>
      <c r="L33" t="inlineStr">
        <is>
          <t>Field-5</t>
        </is>
      </c>
      <c r="M33" t="inlineStr">
        <is>
          <t>Field-6</t>
        </is>
      </c>
      <c r="N33" t="inlineStr">
        <is>
          <t>Field-7</t>
        </is>
      </c>
      <c r="O33" t="inlineStr">
        <is>
          <t>Field-8</t>
        </is>
      </c>
      <c r="P33" t="inlineStr">
        <is>
          <t>Field-9</t>
        </is>
      </c>
      <c r="Q33" t="inlineStr">
        <is>
          <t>Field-10</t>
        </is>
      </c>
      <c r="R33" t="inlineStr">
        <is>
          <t>Field-11</t>
        </is>
      </c>
      <c r="S33" t="inlineStr">
        <is>
          <t>Field-12</t>
        </is>
      </c>
      <c r="T33" t="inlineStr">
        <is>
          <t>Field-13</t>
        </is>
      </c>
      <c r="U33" t="inlineStr">
        <is>
          <t>Field-14</t>
        </is>
      </c>
      <c r="V33" t="inlineStr">
        <is>
          <t>Field-15</t>
        </is>
      </c>
      <c r="W33" t="inlineStr">
        <is>
          <t>Field-16</t>
        </is>
      </c>
      <c r="X33" t="inlineStr">
        <is>
          <t>Field-17</t>
        </is>
      </c>
      <c r="Y33" t="inlineStr">
        <is>
          <t>Field-18</t>
        </is>
      </c>
      <c r="Z33" t="inlineStr">
        <is>
          <t>Field-19</t>
        </is>
      </c>
      <c r="AA33" t="inlineStr">
        <is>
          <t>Field-20</t>
        </is>
      </c>
      <c r="AB33" t="inlineStr">
        <is>
          <t>Field-21</t>
        </is>
      </c>
      <c r="AC33" t="inlineStr">
        <is>
          <t>Field-22</t>
        </is>
      </c>
      <c r="AD33" t="inlineStr">
        <is>
          <t>Field-23</t>
        </is>
      </c>
      <c r="AE33" t="inlineStr">
        <is>
          <t>Field-24</t>
        </is>
      </c>
    </row>
    <row r="34">
      <c r="G34" s="3" t="n">
        <v>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n">
        <v>0</v>
      </c>
      <c r="O34" t="n">
        <v>1</v>
      </c>
      <c r="P34" t="n">
        <v>0</v>
      </c>
      <c r="Q34" t="n">
        <v>0</v>
      </c>
      <c r="R34" t="n">
        <v>2</v>
      </c>
      <c r="S34" t="n">
        <v>1</v>
      </c>
      <c r="T34" t="n">
        <v>0</v>
      </c>
      <c r="U34" t="n">
        <v>3</v>
      </c>
      <c r="V34" t="n">
        <v>0</v>
      </c>
      <c r="W34" t="n">
        <v>3</v>
      </c>
      <c r="X34" t="n">
        <v>0</v>
      </c>
      <c r="Y34" t="n">
        <v>3</v>
      </c>
      <c r="Z34" t="n">
        <v>2</v>
      </c>
      <c r="AA34" t="n">
        <v>0</v>
      </c>
      <c r="AG34" s="3">
        <f>AVERAGE(H34:AE34)</f>
        <v>0.9</v>
      </c>
      <c r="AH34" s="4">
        <f>AG34*G34</f>
        <v>26.1</v>
      </c>
      <c r="AI34" t="n">
        <v>1</v>
      </c>
      <c r="AJ34">
        <f>5.4*11.6/25</f>
        <v>2.5056</v>
      </c>
      <c r="AK34" s="5">
        <f>(AH34)*1000/AJ34*AI34</f>
        <v>10416.666666666668</v>
      </c>
      <c r="AL34" s="3" t="n"/>
      <c r="AM34" s="4" t="e">
        <f>AVERAGE(AH34,#REF!)</f>
        <v>#REF!</v>
      </c>
      <c r="AN34" s="3" t="e">
        <f>AM34-#REF!</f>
        <v>#REF!</v>
      </c>
      <c r="AO34" s="3" t="e">
        <f>100*AM34/1500</f>
        <v>#REF!</v>
      </c>
      <c r="AP34" t="e">
        <f>100*AN34/1000</f>
        <v>#REF!</v>
      </c>
      <c r="AQ34" s="4" t="e">
        <f>AH34-#REF!</f>
        <v>#REF!</v>
      </c>
    </row>
    <row r="36">
      <c r="C36" t="inlineStr">
        <is>
          <t>03-03-2026</t>
        </is>
      </c>
      <c r="D36" t="inlineStr">
        <is>
          <t>A</t>
        </is>
      </c>
      <c r="F36">
        <f>SUM(H37:AE37)</f>
        <v>14</v>
      </c>
      <c r="H36" t="inlineStr">
        <is>
          <t>Field-1</t>
        </is>
      </c>
      <c r="I36" t="inlineStr">
        <is>
          <t>Field-2</t>
        </is>
      </c>
      <c r="J36" t="inlineStr">
        <is>
          <t>Field-3</t>
        </is>
      </c>
      <c r="K36" t="inlineStr">
        <is>
          <t>Field-4</t>
        </is>
      </c>
      <c r="L36" t="inlineStr">
        <is>
          <t>Field-5</t>
        </is>
      </c>
      <c r="M36" t="inlineStr">
        <is>
          <t>Field-6</t>
        </is>
      </c>
      <c r="N36" t="inlineStr">
        <is>
          <t>Field-7</t>
        </is>
      </c>
      <c r="O36" t="inlineStr">
        <is>
          <t>Field-8</t>
        </is>
      </c>
      <c r="P36" t="inlineStr">
        <is>
          <t>Field-9</t>
        </is>
      </c>
      <c r="Q36" t="inlineStr">
        <is>
          <t>Field-10</t>
        </is>
      </c>
      <c r="R36" t="inlineStr">
        <is>
          <t>Field-11</t>
        </is>
      </c>
      <c r="S36" t="inlineStr">
        <is>
          <t>Field-12</t>
        </is>
      </c>
      <c r="T36" t="inlineStr">
        <is>
          <t>Field-13</t>
        </is>
      </c>
      <c r="U36" t="inlineStr">
        <is>
          <t>Field-14</t>
        </is>
      </c>
      <c r="V36" t="inlineStr">
        <is>
          <t>Field-15</t>
        </is>
      </c>
      <c r="W36" t="inlineStr">
        <is>
          <t>Field-16</t>
        </is>
      </c>
      <c r="X36" t="inlineStr">
        <is>
          <t>Field-17</t>
        </is>
      </c>
      <c r="Y36" t="inlineStr">
        <is>
          <t>Field-18</t>
        </is>
      </c>
      <c r="Z36" t="inlineStr">
        <is>
          <t>Field-19</t>
        </is>
      </c>
      <c r="AA36" t="inlineStr">
        <is>
          <t>Field-20</t>
        </is>
      </c>
      <c r="AB36" t="inlineStr">
        <is>
          <t>Field-21</t>
        </is>
      </c>
      <c r="AC36" t="inlineStr">
        <is>
          <t>Field-22</t>
        </is>
      </c>
      <c r="AD36" t="inlineStr">
        <is>
          <t>Field-23</t>
        </is>
      </c>
      <c r="AE36" t="inlineStr">
        <is>
          <t>Field-24</t>
        </is>
      </c>
    </row>
    <row r="37">
      <c r="G37" s="3" t="n">
        <v>29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1</v>
      </c>
      <c r="Y37" t="n">
        <v>3</v>
      </c>
      <c r="Z37" t="n">
        <v>0</v>
      </c>
      <c r="AA37" t="n">
        <v>2</v>
      </c>
      <c r="AB37" t="n">
        <v>2</v>
      </c>
      <c r="AC37" t="n">
        <v>0</v>
      </c>
      <c r="AD37" t="n">
        <v>0</v>
      </c>
      <c r="AG37" s="3">
        <f>AVERAGE(H37:AE37)</f>
        <v>0.6086956521739131</v>
      </c>
      <c r="AH37" s="4">
        <f>AG37*G37</f>
        <v>17.65217391304348</v>
      </c>
      <c r="AI37" t="n">
        <v>1</v>
      </c>
      <c r="AJ37">
        <f>5.4*11.6/25</f>
        <v>2.5056</v>
      </c>
      <c r="AK37" s="5">
        <f>(AH37)*1000/AJ37*AI37</f>
        <v>7045.088566827699</v>
      </c>
      <c r="AL37" s="3">
        <f>100*ABS(AH37-AH39)/AVERAGE(AH37,AH39)</f>
        <v>60.99290780141841</v>
      </c>
      <c r="AM37" s="4">
        <f>AVERAGE(AH37,AH39)</f>
        <v>25.39751552795031</v>
      </c>
      <c r="AN37" s="3" t="e">
        <f>AM37-#REF!</f>
        <v>#REF!</v>
      </c>
      <c r="AO37" s="3">
        <f>100*AM37/1500</f>
        <v>1.6931677018633542</v>
      </c>
      <c r="AP37" t="e">
        <f>100*AN37/1000</f>
        <v>#REF!</v>
      </c>
      <c r="AQ37" s="4" t="e">
        <f>AH37-#REF!</f>
        <v>#REF!</v>
      </c>
    </row>
    <row r="38">
      <c r="B38" t="inlineStr">
        <is>
          <t>Clade A</t>
        </is>
      </c>
      <c r="C38" t="inlineStr">
        <is>
          <t>S07</t>
        </is>
      </c>
      <c r="D38" t="inlineStr">
        <is>
          <t>B</t>
        </is>
      </c>
      <c r="F38">
        <f>SUM(H39:AE39)</f>
        <v>8</v>
      </c>
      <c r="H38" t="inlineStr">
        <is>
          <t>Field-1</t>
        </is>
      </c>
      <c r="I38" t="inlineStr">
        <is>
          <t>Field-2</t>
        </is>
      </c>
      <c r="J38" t="inlineStr">
        <is>
          <t>Field-3</t>
        </is>
      </c>
      <c r="K38" t="inlineStr">
        <is>
          <t>Field-4</t>
        </is>
      </c>
      <c r="L38" t="inlineStr">
        <is>
          <t>Field-5</t>
        </is>
      </c>
      <c r="M38" t="inlineStr">
        <is>
          <t>Field-6</t>
        </is>
      </c>
      <c r="N38" t="inlineStr">
        <is>
          <t>Field-7</t>
        </is>
      </c>
      <c r="O38" t="inlineStr">
        <is>
          <t>Field-8</t>
        </is>
      </c>
      <c r="P38" t="inlineStr">
        <is>
          <t>Field-9</t>
        </is>
      </c>
      <c r="Q38" t="inlineStr">
        <is>
          <t>Field-10</t>
        </is>
      </c>
      <c r="R38" t="inlineStr">
        <is>
          <t>Field-11</t>
        </is>
      </c>
      <c r="S38" t="inlineStr">
        <is>
          <t>Field-12</t>
        </is>
      </c>
      <c r="T38" t="inlineStr">
        <is>
          <t>Field-13</t>
        </is>
      </c>
      <c r="U38" t="inlineStr">
        <is>
          <t>Field-14</t>
        </is>
      </c>
      <c r="V38" t="inlineStr">
        <is>
          <t>Field-15</t>
        </is>
      </c>
      <c r="W38" t="inlineStr">
        <is>
          <t>Field-16</t>
        </is>
      </c>
      <c r="X38" t="inlineStr">
        <is>
          <t>Field-17</t>
        </is>
      </c>
      <c r="Y38" t="inlineStr">
        <is>
          <t>Field-18</t>
        </is>
      </c>
      <c r="Z38" t="inlineStr">
        <is>
          <t>Field-19</t>
        </is>
      </c>
      <c r="AA38" t="inlineStr">
        <is>
          <t>Field-20</t>
        </is>
      </c>
      <c r="AB38" t="inlineStr">
        <is>
          <t>Field-21</t>
        </is>
      </c>
      <c r="AC38" t="inlineStr">
        <is>
          <t>Field-22</t>
        </is>
      </c>
      <c r="AD38" t="inlineStr">
        <is>
          <t>Field-23</t>
        </is>
      </c>
      <c r="AE38" t="inlineStr">
        <is>
          <t>Field-24</t>
        </is>
      </c>
    </row>
    <row r="39">
      <c r="G39" s="3" t="n">
        <v>29</v>
      </c>
      <c r="H39" t="n">
        <v>1</v>
      </c>
      <c r="I39" t="n">
        <v>0</v>
      </c>
      <c r="J39" t="n">
        <v>0</v>
      </c>
      <c r="K39" t="n">
        <v>2</v>
      </c>
      <c r="M39" t="n">
        <v>3</v>
      </c>
      <c r="N39" t="n">
        <v>1</v>
      </c>
      <c r="O39" t="n">
        <v>1</v>
      </c>
      <c r="AG39" s="3">
        <f>AVERAGE(H39:AE39)</f>
        <v>1.1428571428571428</v>
      </c>
      <c r="AH39" s="4">
        <f>AG39*G39</f>
        <v>33.14285714285714</v>
      </c>
      <c r="AI39" t="n">
        <v>1</v>
      </c>
      <c r="AJ39">
        <f>5.4*11.6/25</f>
        <v>2.5056</v>
      </c>
      <c r="AK39" s="5">
        <f>(AH39)*1000/AJ39*AI39</f>
        <v>13227.513227513226</v>
      </c>
      <c r="AL39" s="3" t="n"/>
      <c r="AM39" s="4" t="e">
        <f>AVERAGE(AH39,#REF!)</f>
        <v>#REF!</v>
      </c>
      <c r="AN39" s="3" t="e">
        <f>AM39-#REF!</f>
        <v>#REF!</v>
      </c>
      <c r="AO39" s="3" t="e">
        <f>100*AM39/1500</f>
        <v>#REF!</v>
      </c>
      <c r="AP39" t="e">
        <f>100*AN39/1000</f>
        <v>#REF!</v>
      </c>
      <c r="AQ39" s="4" t="e">
        <f>AH39-#REF!</f>
        <v>#REF!</v>
      </c>
    </row>
    <row r="41">
      <c r="C41" t="inlineStr">
        <is>
          <t>03-03-2026</t>
        </is>
      </c>
      <c r="D41" t="inlineStr">
        <is>
          <t>A</t>
        </is>
      </c>
      <c r="E41" t="n">
        <v>0</v>
      </c>
      <c r="F41">
        <f>SUM(H42:AE42)</f>
        <v>4</v>
      </c>
      <c r="H41" t="inlineStr">
        <is>
          <t>Field-1</t>
        </is>
      </c>
      <c r="I41" t="inlineStr">
        <is>
          <t>Field-2</t>
        </is>
      </c>
      <c r="J41" t="inlineStr">
        <is>
          <t>Field-3</t>
        </is>
      </c>
      <c r="K41" t="inlineStr">
        <is>
          <t>Field-4</t>
        </is>
      </c>
      <c r="L41" t="inlineStr">
        <is>
          <t>Field-5</t>
        </is>
      </c>
      <c r="M41" t="inlineStr">
        <is>
          <t>Field-6</t>
        </is>
      </c>
      <c r="N41" t="inlineStr">
        <is>
          <t>Field-7</t>
        </is>
      </c>
      <c r="O41" t="inlineStr">
        <is>
          <t>Field-8</t>
        </is>
      </c>
      <c r="P41" t="inlineStr">
        <is>
          <t>Field-9</t>
        </is>
      </c>
      <c r="Q41" t="inlineStr">
        <is>
          <t>Field-10</t>
        </is>
      </c>
      <c r="R41" t="inlineStr">
        <is>
          <t>Field-11</t>
        </is>
      </c>
      <c r="S41" t="inlineStr">
        <is>
          <t>Field-12</t>
        </is>
      </c>
      <c r="T41" t="inlineStr">
        <is>
          <t>Field-13</t>
        </is>
      </c>
      <c r="U41" t="inlineStr">
        <is>
          <t>Field-14</t>
        </is>
      </c>
      <c r="V41" t="inlineStr">
        <is>
          <t>Field-15</t>
        </is>
      </c>
      <c r="W41" t="inlineStr">
        <is>
          <t>Field-16</t>
        </is>
      </c>
      <c r="X41" t="inlineStr">
        <is>
          <t>Field-17</t>
        </is>
      </c>
      <c r="Y41" t="inlineStr">
        <is>
          <t>Field-18</t>
        </is>
      </c>
      <c r="Z41" t="inlineStr">
        <is>
          <t>Field-19</t>
        </is>
      </c>
      <c r="AA41" t="inlineStr">
        <is>
          <t>Field-20</t>
        </is>
      </c>
      <c r="AB41" t="inlineStr">
        <is>
          <t>Field-21</t>
        </is>
      </c>
      <c r="AC41" t="inlineStr">
        <is>
          <t>Field-22</t>
        </is>
      </c>
      <c r="AD41" t="inlineStr">
        <is>
          <t>Field-23</t>
        </is>
      </c>
      <c r="AE41" t="inlineStr">
        <is>
          <t>Field-24</t>
        </is>
      </c>
    </row>
    <row r="42">
      <c r="G42" s="3" t="n">
        <v>29</v>
      </c>
      <c r="H42" t="n">
        <v>3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AG42" s="3">
        <f>AVERAGE(H42:AE42)</f>
        <v>0.5714285714285714</v>
      </c>
      <c r="AH42" s="4">
        <f>AG42*G42</f>
        <v>16.57142857142857</v>
      </c>
      <c r="AI42" t="n">
        <v>1</v>
      </c>
      <c r="AJ42">
        <f>5.4*11.6/25</f>
        <v>2.5056</v>
      </c>
      <c r="AK42" s="5">
        <f>(AH42)*1000/AJ42*AI42</f>
        <v>6613.756613756613</v>
      </c>
      <c r="AL42" s="3">
        <f>100*ABS(AH42-AH44)/AVERAGE(AH42,AH44)</f>
        <v>43.478260869565226</v>
      </c>
      <c r="AM42" s="4">
        <f>AVERAGE(AH42,AH44)</f>
        <v>21.17460317460317</v>
      </c>
      <c r="AN42" s="3" t="e">
        <f>AM42-#REF!</f>
        <v>#REF!</v>
      </c>
      <c r="AO42" s="3">
        <f>100*AM42/1500</f>
        <v>1.4116402116402114</v>
      </c>
      <c r="AP42" t="e">
        <f>100*AN42/1000</f>
        <v>#REF!</v>
      </c>
      <c r="AQ42" s="4" t="e">
        <f>AH42-#REF!</f>
        <v>#REF!</v>
      </c>
    </row>
    <row r="43">
      <c r="B43" t="inlineStr">
        <is>
          <t>Clade A</t>
        </is>
      </c>
      <c r="C43" t="inlineStr">
        <is>
          <t>S08</t>
        </is>
      </c>
      <c r="D43" t="inlineStr">
        <is>
          <t>B</t>
        </is>
      </c>
      <c r="F43">
        <f>SUM(H44:AE44)</f>
        <v>8</v>
      </c>
      <c r="H43" t="inlineStr">
        <is>
          <t>Field-1</t>
        </is>
      </c>
      <c r="I43" t="inlineStr">
        <is>
          <t>Field-2</t>
        </is>
      </c>
      <c r="J43" t="inlineStr">
        <is>
          <t>Field-3</t>
        </is>
      </c>
      <c r="K43" t="inlineStr">
        <is>
          <t>Field-4</t>
        </is>
      </c>
      <c r="L43" t="inlineStr">
        <is>
          <t>Field-5</t>
        </is>
      </c>
      <c r="M43" t="inlineStr">
        <is>
          <t>Field-6</t>
        </is>
      </c>
      <c r="N43" t="inlineStr">
        <is>
          <t>Field-7</t>
        </is>
      </c>
      <c r="O43" t="inlineStr">
        <is>
          <t>Field-8</t>
        </is>
      </c>
      <c r="P43" t="inlineStr">
        <is>
          <t>Field-9</t>
        </is>
      </c>
      <c r="Q43" t="inlineStr">
        <is>
          <t>Field-10</t>
        </is>
      </c>
      <c r="R43" t="inlineStr">
        <is>
          <t>Field-11</t>
        </is>
      </c>
      <c r="S43" t="inlineStr">
        <is>
          <t>Field-12</t>
        </is>
      </c>
      <c r="T43" t="inlineStr">
        <is>
          <t>Field-13</t>
        </is>
      </c>
      <c r="U43" t="inlineStr">
        <is>
          <t>Field-14</t>
        </is>
      </c>
      <c r="V43" t="inlineStr">
        <is>
          <t>Field-15</t>
        </is>
      </c>
      <c r="W43" t="inlineStr">
        <is>
          <t>Field-16</t>
        </is>
      </c>
      <c r="X43" t="inlineStr">
        <is>
          <t>Field-17</t>
        </is>
      </c>
      <c r="Y43" t="inlineStr">
        <is>
          <t>Field-18</t>
        </is>
      </c>
      <c r="Z43" t="inlineStr">
        <is>
          <t>Field-19</t>
        </is>
      </c>
      <c r="AA43" t="inlineStr">
        <is>
          <t>Field-20</t>
        </is>
      </c>
      <c r="AB43" t="inlineStr">
        <is>
          <t>Field-21</t>
        </is>
      </c>
      <c r="AC43" t="inlineStr">
        <is>
          <t>Field-22</t>
        </is>
      </c>
      <c r="AD43" t="inlineStr">
        <is>
          <t>Field-23</t>
        </is>
      </c>
      <c r="AE43" t="inlineStr">
        <is>
          <t>Field-24</t>
        </is>
      </c>
    </row>
    <row r="44">
      <c r="G44" s="3" t="n">
        <v>29</v>
      </c>
      <c r="H44" t="n">
        <v>1</v>
      </c>
      <c r="I44" t="n">
        <v>1</v>
      </c>
      <c r="J44" t="n">
        <v>2</v>
      </c>
      <c r="K44" t="n">
        <v>1</v>
      </c>
      <c r="L44" t="n">
        <v>0</v>
      </c>
      <c r="M44" t="n">
        <v>0</v>
      </c>
      <c r="N44" t="n">
        <v>3</v>
      </c>
      <c r="O44" t="n">
        <v>0</v>
      </c>
      <c r="P44" t="n">
        <v>0</v>
      </c>
      <c r="AG44" s="3">
        <f>AVERAGE(H44:AE44)</f>
        <v>0.8888888888888888</v>
      </c>
      <c r="AH44" s="4">
        <f>AG44*G44</f>
        <v>25.777777777777775</v>
      </c>
      <c r="AI44" t="n">
        <v>1</v>
      </c>
      <c r="AJ44">
        <f>5.4*11.6/25</f>
        <v>2.5056</v>
      </c>
      <c r="AK44" s="5">
        <f>(AH44)*1000/AJ44*AI44</f>
        <v>10288.065843621398</v>
      </c>
      <c r="AL44" s="3" t="n"/>
      <c r="AM44" s="4" t="e">
        <f>AVERAGE(AH44,#REF!)</f>
        <v>#REF!</v>
      </c>
      <c r="AN44" s="3" t="e">
        <f>AM44-#REF!</f>
        <v>#REF!</v>
      </c>
      <c r="AO44" s="3" t="e">
        <f>100*AM44/1500</f>
        <v>#REF!</v>
      </c>
      <c r="AP44" t="e">
        <f>100*AN44/1000</f>
        <v>#REF!</v>
      </c>
      <c r="AQ44" s="4" t="e">
        <f>AH44-#REF!</f>
        <v>#REF!</v>
      </c>
    </row>
    <row r="46">
      <c r="C46" t="inlineStr">
        <is>
          <t>03-03-2026</t>
        </is>
      </c>
      <c r="D46" t="inlineStr">
        <is>
          <t>A</t>
        </is>
      </c>
      <c r="E46" t="n">
        <v>1</v>
      </c>
      <c r="F46">
        <f>SUM(H47:AE47)</f>
        <v>22</v>
      </c>
      <c r="H46" t="inlineStr">
        <is>
          <t>Field-1</t>
        </is>
      </c>
      <c r="I46" t="inlineStr">
        <is>
          <t>Field-2</t>
        </is>
      </c>
      <c r="J46" t="inlineStr">
        <is>
          <t>Field-3</t>
        </is>
      </c>
      <c r="K46" t="inlineStr">
        <is>
          <t>Field-4</t>
        </is>
      </c>
      <c r="L46" t="inlineStr">
        <is>
          <t>Field-5</t>
        </is>
      </c>
      <c r="M46" t="inlineStr">
        <is>
          <t>Field-6</t>
        </is>
      </c>
      <c r="N46" t="inlineStr">
        <is>
          <t>Field-7</t>
        </is>
      </c>
      <c r="O46" t="inlineStr">
        <is>
          <t>Field-8</t>
        </is>
      </c>
      <c r="P46" t="inlineStr">
        <is>
          <t>Field-9</t>
        </is>
      </c>
      <c r="Q46" t="inlineStr">
        <is>
          <t>Field-10</t>
        </is>
      </c>
      <c r="R46" t="inlineStr">
        <is>
          <t>Field-11</t>
        </is>
      </c>
      <c r="S46" t="inlineStr">
        <is>
          <t>Field-12</t>
        </is>
      </c>
      <c r="T46" t="inlineStr">
        <is>
          <t>Field-13</t>
        </is>
      </c>
      <c r="U46" t="inlineStr">
        <is>
          <t>Field-14</t>
        </is>
      </c>
      <c r="V46" t="inlineStr">
        <is>
          <t>Field-15</t>
        </is>
      </c>
      <c r="W46" t="inlineStr">
        <is>
          <t>Field-16</t>
        </is>
      </c>
      <c r="X46" t="inlineStr">
        <is>
          <t>Field-17</t>
        </is>
      </c>
      <c r="Y46" t="inlineStr">
        <is>
          <t>Field-18</t>
        </is>
      </c>
      <c r="Z46" t="inlineStr">
        <is>
          <t>Field-19</t>
        </is>
      </c>
      <c r="AA46" t="inlineStr">
        <is>
          <t>Field-20</t>
        </is>
      </c>
      <c r="AB46" t="inlineStr">
        <is>
          <t>Field-21</t>
        </is>
      </c>
      <c r="AC46" t="inlineStr">
        <is>
          <t>Field-22</t>
        </is>
      </c>
      <c r="AD46" t="inlineStr">
        <is>
          <t>Field-23</t>
        </is>
      </c>
      <c r="AE46" t="inlineStr">
        <is>
          <t>Field-24</t>
        </is>
      </c>
    </row>
    <row r="47">
      <c r="G47" s="3" t="n">
        <v>29</v>
      </c>
      <c r="H47" t="n">
        <v>3</v>
      </c>
      <c r="I47" t="n">
        <v>3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3</v>
      </c>
      <c r="S47" t="n">
        <v>1</v>
      </c>
      <c r="T47" t="n">
        <v>1</v>
      </c>
      <c r="U47" t="n">
        <v>1</v>
      </c>
      <c r="V47" t="n">
        <v>0</v>
      </c>
      <c r="W47" t="n">
        <v>1</v>
      </c>
      <c r="X47" t="n">
        <v>3</v>
      </c>
      <c r="Y47" t="n">
        <v>1</v>
      </c>
      <c r="Z47" t="n">
        <v>1</v>
      </c>
      <c r="AA47" t="n">
        <v>0</v>
      </c>
      <c r="AB47" t="n">
        <v>2</v>
      </c>
      <c r="AC47" t="n">
        <v>0</v>
      </c>
      <c r="AG47" s="3">
        <f>AVERAGE(H47:AE47)</f>
        <v>1</v>
      </c>
      <c r="AH47" s="4">
        <f>AG47*G47</f>
        <v>29</v>
      </c>
      <c r="AI47" t="n">
        <v>1</v>
      </c>
      <c r="AJ47">
        <f>5.4*11.6/25</f>
        <v>2.5056</v>
      </c>
      <c r="AK47" s="5">
        <f>(AH47)*1000/AJ47*AI47</f>
        <v>11574.074074074075</v>
      </c>
      <c r="AL47" s="3">
        <f>100*ABS(AH47-AH49)/AVERAGE(AH47,AH49)</f>
        <v>0</v>
      </c>
      <c r="AM47" s="4">
        <f>AVERAGE(AH47,AH49)</f>
        <v>29</v>
      </c>
      <c r="AN47" s="3" t="e">
        <f>AM47-#REF!</f>
        <v>#REF!</v>
      </c>
      <c r="AO47" s="3">
        <f>100*AM47/1500</f>
        <v>1.9333333333333333</v>
      </c>
      <c r="AP47" t="e">
        <f>100*AN47/1000</f>
        <v>#REF!</v>
      </c>
      <c r="AQ47" s="4" t="e">
        <f>AH47-#REF!</f>
        <v>#REF!</v>
      </c>
    </row>
    <row r="48">
      <c r="B48" t="inlineStr">
        <is>
          <t>Clade A</t>
        </is>
      </c>
      <c r="C48" t="inlineStr">
        <is>
          <t>S09</t>
        </is>
      </c>
      <c r="D48" t="inlineStr">
        <is>
          <t>B</t>
        </is>
      </c>
      <c r="F48">
        <f>SUM(H49:AE49)</f>
        <v>15</v>
      </c>
      <c r="H48" t="inlineStr">
        <is>
          <t>Field-1</t>
        </is>
      </c>
      <c r="I48" t="inlineStr">
        <is>
          <t>Field-2</t>
        </is>
      </c>
      <c r="J48" t="inlineStr">
        <is>
          <t>Field-3</t>
        </is>
      </c>
      <c r="K48" t="inlineStr">
        <is>
          <t>Field-4</t>
        </is>
      </c>
      <c r="L48" t="inlineStr">
        <is>
          <t>Field-5</t>
        </is>
      </c>
      <c r="M48" t="inlineStr">
        <is>
          <t>Field-6</t>
        </is>
      </c>
      <c r="N48" t="inlineStr">
        <is>
          <t>Field-7</t>
        </is>
      </c>
      <c r="O48" t="inlineStr">
        <is>
          <t>Field-8</t>
        </is>
      </c>
      <c r="P48" t="inlineStr">
        <is>
          <t>Field-9</t>
        </is>
      </c>
      <c r="Q48" t="inlineStr">
        <is>
          <t>Field-10</t>
        </is>
      </c>
      <c r="R48" t="inlineStr">
        <is>
          <t>Field-11</t>
        </is>
      </c>
      <c r="S48" t="inlineStr">
        <is>
          <t>Field-12</t>
        </is>
      </c>
      <c r="T48" t="inlineStr">
        <is>
          <t>Field-13</t>
        </is>
      </c>
      <c r="U48" t="inlineStr">
        <is>
          <t>Field-14</t>
        </is>
      </c>
      <c r="V48" t="inlineStr">
        <is>
          <t>Field-15</t>
        </is>
      </c>
      <c r="W48" t="inlineStr">
        <is>
          <t>Field-16</t>
        </is>
      </c>
      <c r="X48" t="inlineStr">
        <is>
          <t>Field-17</t>
        </is>
      </c>
      <c r="Y48" t="inlineStr">
        <is>
          <t>Field-18</t>
        </is>
      </c>
      <c r="Z48" t="inlineStr">
        <is>
          <t>Field-19</t>
        </is>
      </c>
      <c r="AA48" t="inlineStr">
        <is>
          <t>Field-20</t>
        </is>
      </c>
      <c r="AB48" t="inlineStr">
        <is>
          <t>Field-21</t>
        </is>
      </c>
      <c r="AC48" t="inlineStr">
        <is>
          <t>Field-22</t>
        </is>
      </c>
      <c r="AD48" t="inlineStr">
        <is>
          <t>Field-23</t>
        </is>
      </c>
      <c r="AE48" t="inlineStr">
        <is>
          <t>Field-24</t>
        </is>
      </c>
    </row>
    <row r="49">
      <c r="G49" s="3" t="n">
        <v>29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3</v>
      </c>
      <c r="N49" t="n">
        <v>3</v>
      </c>
      <c r="O49" t="n">
        <v>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</v>
      </c>
      <c r="AG49" s="3">
        <f>AVERAGE(H49:AE49)</f>
        <v>1</v>
      </c>
      <c r="AH49" s="4">
        <f>AG49*G49</f>
        <v>29</v>
      </c>
      <c r="AI49" t="n">
        <v>1</v>
      </c>
      <c r="AJ49">
        <f>5.4*11.6/25</f>
        <v>2.5056</v>
      </c>
      <c r="AK49" s="5">
        <f>(AH49)*1000/AJ49*AI49</f>
        <v>11574.074074074075</v>
      </c>
      <c r="AL49" s="3" t="n"/>
      <c r="AM49" s="4" t="e">
        <f>AVERAGE(AH49,#REF!)</f>
        <v>#REF!</v>
      </c>
      <c r="AN49" s="3" t="e">
        <f>AM49-#REF!</f>
        <v>#REF!</v>
      </c>
      <c r="AO49" s="3" t="e">
        <f>100*AM49/1500</f>
        <v>#REF!</v>
      </c>
      <c r="AP49" t="e">
        <f>100*AN49/1000</f>
        <v>#REF!</v>
      </c>
      <c r="AQ49" s="4" t="e">
        <f>AH49-#REF!</f>
        <v>#REF!</v>
      </c>
    </row>
    <row r="51">
      <c r="C51" t="inlineStr">
        <is>
          <t>03-03-2026</t>
        </is>
      </c>
      <c r="D51" t="inlineStr">
        <is>
          <t>A</t>
        </is>
      </c>
      <c r="E51" t="n">
        <v>0</v>
      </c>
      <c r="F51">
        <f>SUM(H52:AE52)</f>
        <v>5</v>
      </c>
      <c r="H51" t="inlineStr">
        <is>
          <t>Field-1</t>
        </is>
      </c>
      <c r="I51" t="inlineStr">
        <is>
          <t>Field-2</t>
        </is>
      </c>
      <c r="J51" t="inlineStr">
        <is>
          <t>Field-3</t>
        </is>
      </c>
      <c r="K51" t="inlineStr">
        <is>
          <t>Field-4</t>
        </is>
      </c>
      <c r="L51" t="inlineStr">
        <is>
          <t>Field-5</t>
        </is>
      </c>
      <c r="M51" t="inlineStr">
        <is>
          <t>Field-6</t>
        </is>
      </c>
      <c r="N51" t="inlineStr">
        <is>
          <t>Field-7</t>
        </is>
      </c>
      <c r="O51" t="inlineStr">
        <is>
          <t>Field-8</t>
        </is>
      </c>
      <c r="P51" t="inlineStr">
        <is>
          <t>Field-9</t>
        </is>
      </c>
      <c r="Q51" t="inlineStr">
        <is>
          <t>Field-10</t>
        </is>
      </c>
      <c r="R51" t="inlineStr">
        <is>
          <t>Field-11</t>
        </is>
      </c>
      <c r="S51" t="inlineStr">
        <is>
          <t>Field-12</t>
        </is>
      </c>
      <c r="T51" t="inlineStr">
        <is>
          <t>Field-13</t>
        </is>
      </c>
      <c r="U51" t="inlineStr">
        <is>
          <t>Field-14</t>
        </is>
      </c>
      <c r="V51" t="inlineStr">
        <is>
          <t>Field-15</t>
        </is>
      </c>
      <c r="W51" t="inlineStr">
        <is>
          <t>Field-16</t>
        </is>
      </c>
      <c r="X51" t="inlineStr">
        <is>
          <t>Field-17</t>
        </is>
      </c>
      <c r="Y51" t="inlineStr">
        <is>
          <t>Field-18</t>
        </is>
      </c>
      <c r="Z51" t="inlineStr">
        <is>
          <t>Field-19</t>
        </is>
      </c>
      <c r="AA51" t="inlineStr">
        <is>
          <t>Field-20</t>
        </is>
      </c>
      <c r="AB51" t="inlineStr">
        <is>
          <t>Field-21</t>
        </is>
      </c>
      <c r="AC51" t="inlineStr">
        <is>
          <t>Field-22</t>
        </is>
      </c>
      <c r="AD51" t="inlineStr">
        <is>
          <t>Field-23</t>
        </is>
      </c>
      <c r="AE51" t="inlineStr">
        <is>
          <t>Field-24</t>
        </is>
      </c>
    </row>
    <row r="52">
      <c r="G52" s="3" t="n">
        <v>29</v>
      </c>
      <c r="H52" t="n">
        <v>3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AG52" s="3">
        <f>AVERAGE(H52:AE52)</f>
        <v>0.625</v>
      </c>
      <c r="AH52" s="4">
        <f>AG52*G52</f>
        <v>18.125</v>
      </c>
      <c r="AI52" t="n">
        <v>1</v>
      </c>
      <c r="AJ52">
        <f>5.4*11.6/25</f>
        <v>2.5056</v>
      </c>
      <c r="AK52" s="5">
        <f>(AH52)*1000/AJ52*AI52</f>
        <v>7233.7962962962965</v>
      </c>
      <c r="AL52" s="3">
        <f>100*ABS(AH52-AH54)/AVERAGE(AH52,AH54)</f>
        <v>57.142857142857146</v>
      </c>
      <c r="AM52" s="4">
        <f>AVERAGE(AH52,AH54)</f>
        <v>25.375</v>
      </c>
      <c r="AN52" s="3" t="e">
        <f>AM52-#REF!</f>
        <v>#REF!</v>
      </c>
      <c r="AO52" s="3">
        <f>100*AM52/1500</f>
        <v>1.6916666666666667</v>
      </c>
      <c r="AP52" t="e">
        <f>100*AN52/1000</f>
        <v>#REF!</v>
      </c>
      <c r="AQ52" s="4" t="e">
        <f>AH52-#REF!</f>
        <v>#REF!</v>
      </c>
    </row>
    <row r="53">
      <c r="B53" t="inlineStr">
        <is>
          <t>Clade A</t>
        </is>
      </c>
      <c r="C53" t="inlineStr">
        <is>
          <t>S10</t>
        </is>
      </c>
      <c r="D53" t="inlineStr">
        <is>
          <t>B</t>
        </is>
      </c>
      <c r="F53">
        <f>SUM(H54:AE54)</f>
        <v>18</v>
      </c>
      <c r="H53" t="inlineStr">
        <is>
          <t>Field-1</t>
        </is>
      </c>
      <c r="I53" t="inlineStr">
        <is>
          <t>Field-2</t>
        </is>
      </c>
      <c r="J53" t="inlineStr">
        <is>
          <t>Field-3</t>
        </is>
      </c>
      <c r="K53" t="inlineStr">
        <is>
          <t>Field-4</t>
        </is>
      </c>
      <c r="L53" t="inlineStr">
        <is>
          <t>Field-5</t>
        </is>
      </c>
      <c r="M53" t="inlineStr">
        <is>
          <t>Field-6</t>
        </is>
      </c>
      <c r="N53" t="inlineStr">
        <is>
          <t>Field-7</t>
        </is>
      </c>
      <c r="O53" t="inlineStr">
        <is>
          <t>Field-8</t>
        </is>
      </c>
      <c r="P53" t="inlineStr">
        <is>
          <t>Field-9</t>
        </is>
      </c>
      <c r="Q53" t="inlineStr">
        <is>
          <t>Field-10</t>
        </is>
      </c>
      <c r="R53" t="inlineStr">
        <is>
          <t>Field-11</t>
        </is>
      </c>
      <c r="S53" t="inlineStr">
        <is>
          <t>Field-12</t>
        </is>
      </c>
      <c r="T53" t="inlineStr">
        <is>
          <t>Field-13</t>
        </is>
      </c>
      <c r="U53" t="inlineStr">
        <is>
          <t>Field-14</t>
        </is>
      </c>
      <c r="V53" t="inlineStr">
        <is>
          <t>Field-15</t>
        </is>
      </c>
      <c r="W53" t="inlineStr">
        <is>
          <t>Field-16</t>
        </is>
      </c>
      <c r="X53" t="inlineStr">
        <is>
          <t>Field-17</t>
        </is>
      </c>
      <c r="Y53" t="inlineStr">
        <is>
          <t>Field-18</t>
        </is>
      </c>
      <c r="Z53" t="inlineStr">
        <is>
          <t>Field-19</t>
        </is>
      </c>
      <c r="AA53" t="inlineStr">
        <is>
          <t>Field-20</t>
        </is>
      </c>
      <c r="AB53" t="inlineStr">
        <is>
          <t>Field-21</t>
        </is>
      </c>
      <c r="AC53" t="inlineStr">
        <is>
          <t>Field-22</t>
        </is>
      </c>
      <c r="AD53" t="inlineStr">
        <is>
          <t>Field-23</t>
        </is>
      </c>
      <c r="AE53" t="inlineStr">
        <is>
          <t>Field-24</t>
        </is>
      </c>
    </row>
    <row r="54">
      <c r="G54" s="3" t="n">
        <v>29</v>
      </c>
      <c r="H54" t="n">
        <v>1</v>
      </c>
      <c r="I54" t="n">
        <v>0</v>
      </c>
      <c r="J54" t="n">
        <v>2</v>
      </c>
      <c r="K54" t="n">
        <v>1</v>
      </c>
      <c r="L54" t="n">
        <v>1</v>
      </c>
      <c r="M54" t="n">
        <v>1</v>
      </c>
      <c r="N54" t="n">
        <v>0</v>
      </c>
      <c r="O54" t="n">
        <v>2</v>
      </c>
      <c r="P54" t="n">
        <v>0</v>
      </c>
      <c r="Q54" t="n">
        <v>0</v>
      </c>
      <c r="R54" t="n">
        <v>3</v>
      </c>
      <c r="S54" t="n">
        <v>3</v>
      </c>
      <c r="T54" t="n">
        <v>2</v>
      </c>
      <c r="U54" t="n">
        <v>2</v>
      </c>
      <c r="V54" t="n">
        <v>0</v>
      </c>
      <c r="W54" t="n">
        <v>0</v>
      </c>
      <c r="AG54" s="3">
        <f>AVERAGE(H54:AE54)</f>
        <v>1.125</v>
      </c>
      <c r="AH54" s="4">
        <f>AG54*G54</f>
        <v>32.625</v>
      </c>
      <c r="AI54" t="n">
        <v>1</v>
      </c>
      <c r="AJ54">
        <f>5.4*11.6/25</f>
        <v>2.5056</v>
      </c>
      <c r="AK54" s="5">
        <f>(AH54)*1000/AJ54*AI54</f>
        <v>13020.833333333334</v>
      </c>
      <c r="AL54" s="3" t="n"/>
      <c r="AM54" s="4" t="e">
        <f>AVERAGE(AH54,#REF!)</f>
        <v>#REF!</v>
      </c>
      <c r="AN54" s="3" t="e">
        <f>AM54-#REF!</f>
        <v>#REF!</v>
      </c>
      <c r="AO54" s="3" t="e">
        <f>100*AM54/1500</f>
        <v>#REF!</v>
      </c>
      <c r="AP54" t="e">
        <f>100*AN54/1000</f>
        <v>#REF!</v>
      </c>
      <c r="AQ54" s="4" t="e">
        <f>AH54-#REF!</f>
        <v>#REF!</v>
      </c>
    </row>
    <row r="56">
      <c r="C56" t="inlineStr">
        <is>
          <t>03-03-2026</t>
        </is>
      </c>
      <c r="D56" t="inlineStr">
        <is>
          <t>A</t>
        </is>
      </c>
      <c r="E56" t="n">
        <v>2</v>
      </c>
      <c r="F56">
        <f>SUM(H57:AE57)</f>
        <v>22</v>
      </c>
      <c r="H56" t="inlineStr">
        <is>
          <t>Field-1</t>
        </is>
      </c>
      <c r="I56" t="inlineStr">
        <is>
          <t>Field-2</t>
        </is>
      </c>
      <c r="J56" t="inlineStr">
        <is>
          <t>Field-3</t>
        </is>
      </c>
      <c r="K56" t="inlineStr">
        <is>
          <t>Field-4</t>
        </is>
      </c>
      <c r="L56" t="inlineStr">
        <is>
          <t>Field-5</t>
        </is>
      </c>
      <c r="M56" t="inlineStr">
        <is>
          <t>Field-6</t>
        </is>
      </c>
      <c r="N56" t="inlineStr">
        <is>
          <t>Field-7</t>
        </is>
      </c>
      <c r="O56" t="inlineStr">
        <is>
          <t>Field-8</t>
        </is>
      </c>
      <c r="P56" t="inlineStr">
        <is>
          <t>Field-9</t>
        </is>
      </c>
      <c r="Q56" t="inlineStr">
        <is>
          <t>Field-10</t>
        </is>
      </c>
      <c r="R56" t="inlineStr">
        <is>
          <t>Field-11</t>
        </is>
      </c>
      <c r="S56" t="inlineStr">
        <is>
          <t>Field-12</t>
        </is>
      </c>
      <c r="T56" t="inlineStr">
        <is>
          <t>Field-13</t>
        </is>
      </c>
      <c r="U56" t="inlineStr">
        <is>
          <t>Field-14</t>
        </is>
      </c>
      <c r="V56" t="inlineStr">
        <is>
          <t>Field-15</t>
        </is>
      </c>
      <c r="W56" t="inlineStr">
        <is>
          <t>Field-16</t>
        </is>
      </c>
      <c r="X56" t="inlineStr">
        <is>
          <t>Field-17</t>
        </is>
      </c>
      <c r="Y56" t="inlineStr">
        <is>
          <t>Field-18</t>
        </is>
      </c>
      <c r="Z56" t="inlineStr">
        <is>
          <t>Field-19</t>
        </is>
      </c>
      <c r="AA56" t="inlineStr">
        <is>
          <t>Field-20</t>
        </is>
      </c>
      <c r="AB56" t="inlineStr">
        <is>
          <t>Field-21</t>
        </is>
      </c>
      <c r="AC56" t="inlineStr">
        <is>
          <t>Field-22</t>
        </is>
      </c>
      <c r="AD56" t="inlineStr">
        <is>
          <t>Field-23</t>
        </is>
      </c>
      <c r="AE56" t="inlineStr">
        <is>
          <t>Field-24</t>
        </is>
      </c>
    </row>
    <row r="57">
      <c r="G57" s="3" t="n">
        <v>29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2</v>
      </c>
      <c r="R57" t="n">
        <v>1</v>
      </c>
      <c r="S57" t="n">
        <v>1</v>
      </c>
      <c r="T57" t="n">
        <v>3</v>
      </c>
      <c r="U57" t="n">
        <v>0</v>
      </c>
      <c r="V57" t="n">
        <v>0</v>
      </c>
      <c r="W57" t="n">
        <v>0</v>
      </c>
      <c r="X57" t="n">
        <v>2</v>
      </c>
      <c r="Y57" t="n">
        <v>1</v>
      </c>
      <c r="Z57" t="n">
        <v>0</v>
      </c>
      <c r="AA57" t="n">
        <v>3</v>
      </c>
      <c r="AB57" t="n">
        <v>2</v>
      </c>
      <c r="AC57" t="n">
        <v>3</v>
      </c>
      <c r="AD57" t="n">
        <v>0</v>
      </c>
      <c r="AE57" t="n">
        <v>1</v>
      </c>
      <c r="AG57" s="3">
        <f>AVERAGE(H57:AE57)</f>
        <v>0.9166666666666666</v>
      </c>
      <c r="AH57" s="4">
        <f>AG57*G57</f>
        <v>26.583333333333332</v>
      </c>
      <c r="AI57" t="n">
        <v>1</v>
      </c>
      <c r="AJ57">
        <f>5.4*11.6/25</f>
        <v>2.5056</v>
      </c>
      <c r="AK57" s="5">
        <f>(AH57)*1000/AJ57*AI57</f>
        <v>10609.567901234568</v>
      </c>
      <c r="AL57" s="3">
        <f>100*ABS(AH57-AH59)/AVERAGE(AH57,AH59)</f>
        <v>0</v>
      </c>
      <c r="AM57" s="4">
        <f>AVERAGE(AH57,AH59)</f>
        <v>26.583333333333332</v>
      </c>
      <c r="AN57" s="3" t="e">
        <f>AM57-#REF!</f>
        <v>#REF!</v>
      </c>
      <c r="AO57" s="3">
        <f>100*AM57/1500</f>
        <v>1.772222222222222</v>
      </c>
      <c r="AP57" t="e">
        <f>100*AN57/1000</f>
        <v>#REF!</v>
      </c>
      <c r="AQ57" s="4" t="e">
        <f>AH57-#REF!</f>
        <v>#REF!</v>
      </c>
    </row>
    <row r="58">
      <c r="B58" t="inlineStr">
        <is>
          <t>Clade A</t>
        </is>
      </c>
      <c r="C58" t="inlineStr">
        <is>
          <t>S11</t>
        </is>
      </c>
      <c r="D58" t="inlineStr">
        <is>
          <t>B</t>
        </is>
      </c>
      <c r="F58">
        <f>SUM(H59:AE59)</f>
        <v>22</v>
      </c>
      <c r="H58" t="inlineStr">
        <is>
          <t>Field-1</t>
        </is>
      </c>
      <c r="I58" t="inlineStr">
        <is>
          <t>Field-2</t>
        </is>
      </c>
      <c r="J58" t="inlineStr">
        <is>
          <t>Field-3</t>
        </is>
      </c>
      <c r="K58" t="inlineStr">
        <is>
          <t>Field-4</t>
        </is>
      </c>
      <c r="L58" t="inlineStr">
        <is>
          <t>Field-5</t>
        </is>
      </c>
      <c r="M58" t="inlineStr">
        <is>
          <t>Field-6</t>
        </is>
      </c>
      <c r="N58" t="inlineStr">
        <is>
          <t>Field-7</t>
        </is>
      </c>
      <c r="O58" t="inlineStr">
        <is>
          <t>Field-8</t>
        </is>
      </c>
      <c r="P58" t="inlineStr">
        <is>
          <t>Field-9</t>
        </is>
      </c>
      <c r="Q58" t="inlineStr">
        <is>
          <t>Field-10</t>
        </is>
      </c>
      <c r="R58" t="inlineStr">
        <is>
          <t>Field-11</t>
        </is>
      </c>
      <c r="S58" t="inlineStr">
        <is>
          <t>Field-12</t>
        </is>
      </c>
      <c r="T58" t="inlineStr">
        <is>
          <t>Field-13</t>
        </is>
      </c>
      <c r="U58" t="inlineStr">
        <is>
          <t>Field-14</t>
        </is>
      </c>
      <c r="V58" t="inlineStr">
        <is>
          <t>Field-15</t>
        </is>
      </c>
      <c r="W58" t="inlineStr">
        <is>
          <t>Field-16</t>
        </is>
      </c>
      <c r="X58" t="inlineStr">
        <is>
          <t>Field-17</t>
        </is>
      </c>
      <c r="Y58" t="inlineStr">
        <is>
          <t>Field-18</t>
        </is>
      </c>
      <c r="Z58" t="inlineStr">
        <is>
          <t>Field-19</t>
        </is>
      </c>
      <c r="AA58" t="inlineStr">
        <is>
          <t>Field-20</t>
        </is>
      </c>
      <c r="AB58" t="inlineStr">
        <is>
          <t>Field-21</t>
        </is>
      </c>
      <c r="AC58" t="inlineStr">
        <is>
          <t>Field-22</t>
        </is>
      </c>
      <c r="AD58" t="inlineStr">
        <is>
          <t>Field-23</t>
        </is>
      </c>
      <c r="AE58" t="inlineStr">
        <is>
          <t>Field-24</t>
        </is>
      </c>
    </row>
    <row r="59">
      <c r="G59" s="3" t="n">
        <v>29</v>
      </c>
      <c r="H59" t="n">
        <v>1</v>
      </c>
      <c r="I59" t="n">
        <v>2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</v>
      </c>
      <c r="W59" t="n">
        <v>0</v>
      </c>
      <c r="X59" t="n">
        <v>3</v>
      </c>
      <c r="Y59" t="n">
        <v>1</v>
      </c>
      <c r="Z59" t="n">
        <v>0</v>
      </c>
      <c r="AA59" t="n">
        <v>3</v>
      </c>
      <c r="AB59" t="n">
        <v>0</v>
      </c>
      <c r="AC59" t="n">
        <v>3</v>
      </c>
      <c r="AD59" t="n">
        <v>0</v>
      </c>
      <c r="AE59" t="n">
        <v>1</v>
      </c>
      <c r="AG59" s="3">
        <f>AVERAGE(H59:AE59)</f>
        <v>0.9166666666666666</v>
      </c>
      <c r="AH59" s="4">
        <f>AG59*G59</f>
        <v>26.583333333333332</v>
      </c>
      <c r="AI59" t="n">
        <v>1</v>
      </c>
      <c r="AJ59">
        <f>5.4*11.6/25</f>
        <v>2.5056</v>
      </c>
      <c r="AK59" s="5">
        <f>(AH59)*1000/AJ59*AI59</f>
        <v>10609.567901234568</v>
      </c>
      <c r="AL59" s="3" t="n"/>
      <c r="AM59" s="4" t="e">
        <f>AVERAGE(AH59,#REF!)</f>
        <v>#REF!</v>
      </c>
      <c r="AN59" s="3" t="e">
        <f>AM59-#REF!</f>
        <v>#REF!</v>
      </c>
      <c r="AO59" s="3" t="e">
        <f>100*AM59/1500</f>
        <v>#REF!</v>
      </c>
      <c r="AP59" t="e">
        <f>100*AN59/1000</f>
        <v>#REF!</v>
      </c>
      <c r="AQ59" s="4" t="e">
        <f>AH59-#REF!</f>
        <v>#REF!</v>
      </c>
    </row>
    <row r="61">
      <c r="C61" t="inlineStr">
        <is>
          <t>03-03-2026</t>
        </is>
      </c>
      <c r="D61" t="inlineStr">
        <is>
          <t>A</t>
        </is>
      </c>
      <c r="E61" t="n">
        <v>2</v>
      </c>
      <c r="F61">
        <f>SUM(H62:AE62)</f>
        <v>23</v>
      </c>
      <c r="H61" t="inlineStr">
        <is>
          <t>Field-1</t>
        </is>
      </c>
      <c r="I61" t="inlineStr">
        <is>
          <t>Field-2</t>
        </is>
      </c>
      <c r="J61" t="inlineStr">
        <is>
          <t>Field-3</t>
        </is>
      </c>
      <c r="K61" t="inlineStr">
        <is>
          <t>Field-4</t>
        </is>
      </c>
      <c r="L61" t="inlineStr">
        <is>
          <t>Field-5</t>
        </is>
      </c>
      <c r="M61" t="inlineStr">
        <is>
          <t>Field-6</t>
        </is>
      </c>
      <c r="N61" t="inlineStr">
        <is>
          <t>Field-7</t>
        </is>
      </c>
      <c r="O61" t="inlineStr">
        <is>
          <t>Field-8</t>
        </is>
      </c>
      <c r="P61" t="inlineStr">
        <is>
          <t>Field-9</t>
        </is>
      </c>
      <c r="Q61" t="inlineStr">
        <is>
          <t>Field-10</t>
        </is>
      </c>
      <c r="R61" t="inlineStr">
        <is>
          <t>Field-11</t>
        </is>
      </c>
      <c r="S61" t="inlineStr">
        <is>
          <t>Field-12</t>
        </is>
      </c>
      <c r="T61" t="inlineStr">
        <is>
          <t>Field-13</t>
        </is>
      </c>
      <c r="U61" t="inlineStr">
        <is>
          <t>Field-14</t>
        </is>
      </c>
      <c r="V61" t="inlineStr">
        <is>
          <t>Field-15</t>
        </is>
      </c>
      <c r="W61" t="inlineStr">
        <is>
          <t>Field-16</t>
        </is>
      </c>
      <c r="X61" t="inlineStr">
        <is>
          <t>Field-17</t>
        </is>
      </c>
      <c r="Y61" t="inlineStr">
        <is>
          <t>Field-18</t>
        </is>
      </c>
      <c r="Z61" t="inlineStr">
        <is>
          <t>Field-19</t>
        </is>
      </c>
      <c r="AA61" t="inlineStr">
        <is>
          <t>Field-20</t>
        </is>
      </c>
      <c r="AB61" t="inlineStr">
        <is>
          <t>Field-21</t>
        </is>
      </c>
      <c r="AC61" t="inlineStr">
        <is>
          <t>Field-22</t>
        </is>
      </c>
      <c r="AD61" t="inlineStr">
        <is>
          <t>Field-23</t>
        </is>
      </c>
      <c r="AE61" t="inlineStr">
        <is>
          <t>Field-24</t>
        </is>
      </c>
    </row>
    <row r="62">
      <c r="G62" s="3" t="n">
        <v>29</v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3</v>
      </c>
      <c r="N62" t="n">
        <v>2</v>
      </c>
      <c r="O62" t="n">
        <v>1</v>
      </c>
      <c r="P62" t="n">
        <v>0</v>
      </c>
      <c r="Q62" t="n">
        <v>1</v>
      </c>
      <c r="R62" t="n">
        <v>1</v>
      </c>
      <c r="S62" t="n">
        <v>3</v>
      </c>
      <c r="T62" t="n">
        <v>0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AG62" s="3">
        <f>AVERAGE(H62:AE62)</f>
        <v>1.2777777777777777</v>
      </c>
      <c r="AH62" s="4">
        <f>AG62*G62</f>
        <v>37.05555555555555</v>
      </c>
      <c r="AI62" t="n">
        <v>1</v>
      </c>
      <c r="AJ62">
        <f>5.4*11.6/25</f>
        <v>2.5056</v>
      </c>
      <c r="AK62" s="5">
        <f>(AH62)*1000/AJ62*AI62</f>
        <v>14789.09465020576</v>
      </c>
      <c r="AL62" s="3">
        <f>100*ABS(AH62-AH64)/AVERAGE(AH62,AH64)</f>
        <v>24.39024390243901</v>
      </c>
      <c r="AM62" s="4">
        <f>AVERAGE(AH62,AH64)</f>
        <v>33.02777777777777</v>
      </c>
      <c r="AN62" s="3" t="e">
        <f>AM62-#REF!</f>
        <v>#REF!</v>
      </c>
      <c r="AO62" s="3">
        <f>100*AM62/1500</f>
        <v>2.2018518518518517</v>
      </c>
      <c r="AP62" t="e">
        <f>100*AN62/1000</f>
        <v>#REF!</v>
      </c>
      <c r="AQ62" s="4" t="e">
        <f>AH62-#REF!</f>
        <v>#REF!</v>
      </c>
    </row>
    <row r="63">
      <c r="B63" t="inlineStr">
        <is>
          <t>Clade A</t>
        </is>
      </c>
      <c r="C63" t="inlineStr">
        <is>
          <t>S12</t>
        </is>
      </c>
      <c r="D63" t="inlineStr">
        <is>
          <t>B</t>
        </is>
      </c>
      <c r="F63">
        <f>SUM(H64:AE64)</f>
        <v>13</v>
      </c>
      <c r="H63" t="inlineStr">
        <is>
          <t>Field-1</t>
        </is>
      </c>
      <c r="I63" t="inlineStr">
        <is>
          <t>Field-2</t>
        </is>
      </c>
      <c r="J63" t="inlineStr">
        <is>
          <t>Field-3</t>
        </is>
      </c>
      <c r="K63" t="inlineStr">
        <is>
          <t>Field-4</t>
        </is>
      </c>
      <c r="L63" t="inlineStr">
        <is>
          <t>Field-5</t>
        </is>
      </c>
      <c r="M63" t="inlineStr">
        <is>
          <t>Field-6</t>
        </is>
      </c>
      <c r="N63" t="inlineStr">
        <is>
          <t>Field-7</t>
        </is>
      </c>
      <c r="O63" t="inlineStr">
        <is>
          <t>Field-8</t>
        </is>
      </c>
      <c r="P63" t="inlineStr">
        <is>
          <t>Field-9</t>
        </is>
      </c>
      <c r="Q63" t="inlineStr">
        <is>
          <t>Field-10</t>
        </is>
      </c>
      <c r="R63" t="inlineStr">
        <is>
          <t>Field-11</t>
        </is>
      </c>
      <c r="S63" t="inlineStr">
        <is>
          <t>Field-12</t>
        </is>
      </c>
      <c r="T63" t="inlineStr">
        <is>
          <t>Field-13</t>
        </is>
      </c>
      <c r="U63" t="inlineStr">
        <is>
          <t>Field-14</t>
        </is>
      </c>
      <c r="V63" t="inlineStr">
        <is>
          <t>Field-15</t>
        </is>
      </c>
      <c r="W63" t="inlineStr">
        <is>
          <t>Field-16</t>
        </is>
      </c>
      <c r="X63" t="inlineStr">
        <is>
          <t>Field-17</t>
        </is>
      </c>
      <c r="Y63" t="inlineStr">
        <is>
          <t>Field-18</t>
        </is>
      </c>
      <c r="Z63" t="inlineStr">
        <is>
          <t>Field-19</t>
        </is>
      </c>
      <c r="AA63" t="inlineStr">
        <is>
          <t>Field-20</t>
        </is>
      </c>
      <c r="AB63" t="inlineStr">
        <is>
          <t>Field-21</t>
        </is>
      </c>
      <c r="AC63" t="inlineStr">
        <is>
          <t>Field-22</t>
        </is>
      </c>
      <c r="AD63" t="inlineStr">
        <is>
          <t>Field-23</t>
        </is>
      </c>
      <c r="AE63" t="inlineStr">
        <is>
          <t>Field-24</t>
        </is>
      </c>
    </row>
    <row r="64">
      <c r="G64" s="3" t="n">
        <v>29</v>
      </c>
      <c r="H64" t="n">
        <v>1</v>
      </c>
      <c r="I64" t="n">
        <v>0</v>
      </c>
      <c r="J64" t="n">
        <v>0</v>
      </c>
      <c r="K64" t="n">
        <v>3</v>
      </c>
      <c r="L64" t="n">
        <v>1</v>
      </c>
      <c r="M64" t="n">
        <v>1</v>
      </c>
      <c r="N64" t="n">
        <v>0</v>
      </c>
      <c r="O64" t="n">
        <v>1</v>
      </c>
      <c r="P64" t="n">
        <v>1</v>
      </c>
      <c r="Q64" t="n">
        <v>3</v>
      </c>
      <c r="R64" t="n">
        <v>0</v>
      </c>
      <c r="S64" t="n">
        <v>1</v>
      </c>
      <c r="T64" t="n">
        <v>1</v>
      </c>
      <c r="AG64" s="3">
        <f>AVERAGE(H64:AE64)</f>
        <v>1</v>
      </c>
      <c r="AH64" s="4">
        <f>AG64*G64</f>
        <v>29</v>
      </c>
      <c r="AI64" t="n">
        <v>1</v>
      </c>
      <c r="AJ64">
        <f>5.4*11.6/25</f>
        <v>2.5056</v>
      </c>
      <c r="AK64" s="5">
        <f>(AH64)*1000/AJ64*AI64</f>
        <v>11574.074074074075</v>
      </c>
      <c r="AL64" s="3" t="n"/>
      <c r="AM64" s="4" t="e">
        <f>AVERAGE(AH64,#REF!)</f>
        <v>#REF!</v>
      </c>
      <c r="AN64" s="3" t="e">
        <f>AM64-#REF!</f>
        <v>#REF!</v>
      </c>
      <c r="AO64" s="3" t="e">
        <f>100*AM64/1500</f>
        <v>#REF!</v>
      </c>
      <c r="AP64" t="e">
        <f>100*AN64/1000</f>
        <v>#REF!</v>
      </c>
      <c r="AQ64" s="4" t="e">
        <f>AH64-#REF!</f>
        <v>#REF!</v>
      </c>
    </row>
  </sheetData>
  <mergeCells count="132">
    <mergeCell ref="F53:F54"/>
    <mergeCell ref="E8:E9"/>
    <mergeCell ref="B43:B44"/>
    <mergeCell ref="E48:E49"/>
    <mergeCell ref="B61:B62"/>
    <mergeCell ref="D21:D22"/>
    <mergeCell ref="D61:D62"/>
    <mergeCell ref="E23:E24"/>
    <mergeCell ref="C63:C64"/>
    <mergeCell ref="C16:C17"/>
    <mergeCell ref="E63:E64"/>
    <mergeCell ref="D36:D37"/>
    <mergeCell ref="F18:F19"/>
    <mergeCell ref="B23:B24"/>
    <mergeCell ref="B13:B14"/>
    <mergeCell ref="F26:F27"/>
    <mergeCell ref="D13:D14"/>
    <mergeCell ref="C41:C42"/>
    <mergeCell ref="D16:D17"/>
    <mergeCell ref="B28:B29"/>
    <mergeCell ref="B6:B7"/>
    <mergeCell ref="F13:F14"/>
    <mergeCell ref="F31:F32"/>
    <mergeCell ref="C43:C44"/>
    <mergeCell ref="D18:D19"/>
    <mergeCell ref="F28:F29"/>
    <mergeCell ref="D8:D9"/>
    <mergeCell ref="E41:E42"/>
    <mergeCell ref="B63:B64"/>
    <mergeCell ref="F48:F49"/>
    <mergeCell ref="D63:D64"/>
    <mergeCell ref="D38:D39"/>
    <mergeCell ref="E21:E22"/>
    <mergeCell ref="B56:B57"/>
    <mergeCell ref="AG4:AG5"/>
    <mergeCell ref="C6:C7"/>
    <mergeCell ref="F63:F64"/>
    <mergeCell ref="B26:B27"/>
    <mergeCell ref="F16:F17"/>
    <mergeCell ref="C4:C5"/>
    <mergeCell ref="E4:E5"/>
    <mergeCell ref="E13:E14"/>
    <mergeCell ref="F36:F37"/>
    <mergeCell ref="B11:B12"/>
    <mergeCell ref="D11:D12"/>
    <mergeCell ref="B58:B59"/>
    <mergeCell ref="H4:AE5"/>
    <mergeCell ref="E38:E39"/>
    <mergeCell ref="C56:C57"/>
    <mergeCell ref="F33:F34"/>
    <mergeCell ref="C31:C32"/>
    <mergeCell ref="C46:C47"/>
    <mergeCell ref="E31:E32"/>
    <mergeCell ref="E46:E47"/>
    <mergeCell ref="B53:B54"/>
    <mergeCell ref="D53:D54"/>
    <mergeCell ref="C51:C52"/>
    <mergeCell ref="C8:C9"/>
    <mergeCell ref="F61:F62"/>
    <mergeCell ref="AJ4:AJ5"/>
    <mergeCell ref="F46:F47"/>
    <mergeCell ref="F11:F12"/>
    <mergeCell ref="E26:E27"/>
    <mergeCell ref="F4:F5"/>
    <mergeCell ref="D26:D27"/>
    <mergeCell ref="D23:D24"/>
    <mergeCell ref="B16:B17"/>
    <mergeCell ref="C18:C19"/>
    <mergeCell ref="C58:C59"/>
    <mergeCell ref="E58:E59"/>
    <mergeCell ref="B31:B32"/>
    <mergeCell ref="B18:B19"/>
    <mergeCell ref="E51:E52"/>
    <mergeCell ref="B8:B9"/>
    <mergeCell ref="F21:F22"/>
    <mergeCell ref="F51:F52"/>
    <mergeCell ref="F8:F9"/>
    <mergeCell ref="E28:E29"/>
    <mergeCell ref="C21:C22"/>
    <mergeCell ref="D41:D42"/>
    <mergeCell ref="F41:F42"/>
    <mergeCell ref="F23:F24"/>
    <mergeCell ref="C36:C37"/>
    <mergeCell ref="D28:D29"/>
    <mergeCell ref="C23:C24"/>
    <mergeCell ref="D43:D44"/>
    <mergeCell ref="F43:F44"/>
    <mergeCell ref="B36:B37"/>
    <mergeCell ref="B33:B34"/>
    <mergeCell ref="E16:E17"/>
    <mergeCell ref="C48:C49"/>
    <mergeCell ref="E56:E57"/>
    <mergeCell ref="B4:B5"/>
    <mergeCell ref="C38:C39"/>
    <mergeCell ref="E18:E19"/>
    <mergeCell ref="D31:D32"/>
    <mergeCell ref="D6:D7"/>
    <mergeCell ref="B21:B22"/>
    <mergeCell ref="F6:F7"/>
    <mergeCell ref="E43:E44"/>
    <mergeCell ref="C33:C34"/>
    <mergeCell ref="E33:E34"/>
    <mergeCell ref="B46:B47"/>
    <mergeCell ref="AH4:AH5"/>
    <mergeCell ref="D46:D47"/>
    <mergeCell ref="B38:B39"/>
    <mergeCell ref="C26:C27"/>
    <mergeCell ref="B48:B49"/>
    <mergeCell ref="D48:D49"/>
    <mergeCell ref="D4:D5"/>
    <mergeCell ref="D56:D57"/>
    <mergeCell ref="AI4:AI5"/>
    <mergeCell ref="F56:F57"/>
    <mergeCell ref="E6:E7"/>
    <mergeCell ref="C11:C12"/>
    <mergeCell ref="E11:E12"/>
    <mergeCell ref="D33:D34"/>
    <mergeCell ref="C61:C62"/>
    <mergeCell ref="E61:E62"/>
    <mergeCell ref="F38:F39"/>
    <mergeCell ref="G4:G5"/>
    <mergeCell ref="E36:E37"/>
    <mergeCell ref="D58:D59"/>
    <mergeCell ref="F58:F59"/>
    <mergeCell ref="C13:C14"/>
    <mergeCell ref="C53:C54"/>
    <mergeCell ref="E53:E54"/>
    <mergeCell ref="B51:B52"/>
    <mergeCell ref="D51:D52"/>
    <mergeCell ref="C28:C29"/>
    <mergeCell ref="B41:B42"/>
    <mergeCell ref="AK4:AK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10" defaultRowHeight="16"/>
  <cols>
    <col width="18.6640625" customWidth="1" min="1" max="1"/>
    <col width="13" customWidth="1" min="2" max="2"/>
    <col width="14.5" customWidth="1" min="3" max="3"/>
    <col width="11.6640625" customWidth="1" min="4" max="4"/>
    <col width="17.1640625" customWidth="1" min="5" max="5"/>
    <col width="14" customWidth="1" min="6" max="6"/>
    <col hidden="1" min="8" max="8"/>
    <col hidden="1" width="10.83203125" customWidth="1" min="9" max="9"/>
    <col hidden="1" width="10.83203125" customWidth="1" min="10" max="10"/>
    <col hidden="1" width="10.83203125" customWidth="1" min="11" max="11"/>
    <col hidden="1" width="10.83203125" customWidth="1" min="12" max="12"/>
    <col hidden="1" width="10.83203125" customWidth="1" min="13" max="13"/>
    <col hidden="1" width="10.83203125" customWidth="1" min="14" max="14"/>
    <col hidden="1" width="10.83203125" customWidth="1" min="15" max="15"/>
    <col hidden="1" width="10.83203125" customWidth="1" min="16" max="16"/>
    <col hidden="1" width="10.83203125" customWidth="1" min="17" max="17"/>
    <col hidden="1" width="10.83203125" customWidth="1" min="18" max="18"/>
    <col hidden="1" width="10.83203125" customWidth="1" min="19" max="19"/>
    <col hidden="1" width="10.83203125" customWidth="1" min="20" max="20"/>
    <col hidden="1" width="10.83203125" customWidth="1" min="21" max="21"/>
    <col hidden="1" width="10.83203125" customWidth="1" min="22" max="22"/>
    <col hidden="1" width="10.83203125" customWidth="1" min="23" max="23"/>
    <col hidden="1" width="10.83203125" customWidth="1" min="24" max="24"/>
    <col hidden="1" width="10.83203125" customWidth="1" min="25" max="25"/>
    <col hidden="1" width="10.83203125" customWidth="1" min="26" max="26"/>
    <col hidden="1" width="10.83203125" customWidth="1" min="27" max="27"/>
    <col hidden="1" width="10.83203125" customWidth="1" min="28" max="28"/>
    <col hidden="1" width="10.83203125" customWidth="1" min="29" max="29"/>
    <col hidden="1" width="10.83203125" customWidth="1" min="30" max="30"/>
    <col hidden="1" width="10.83203125" customWidth="1" min="31" max="31"/>
    <col hidden="1" width="10.83203125" customWidth="1" min="32" max="32"/>
  </cols>
  <sheetData>
    <row r="1">
      <c r="A1" s="1" t="inlineStr">
        <is>
          <t>Controls (synthetic)</t>
        </is>
      </c>
      <c r="B1" s="1" t="inlineStr">
        <is>
          <t>Controls counts</t>
        </is>
      </c>
    </row>
    <row r="3">
      <c r="A3" s="1" t="inlineStr">
        <is>
          <t>Slides from 10-02-2026</t>
        </is>
      </c>
    </row>
    <row r="4">
      <c r="A4" s="2" t="inlineStr">
        <is>
          <t>Cy5 red &amp; Cy3 green 
(yellow counts)</t>
        </is>
      </c>
      <c r="B4" s="2" t="inlineStr">
        <is>
          <t>assay</t>
        </is>
      </c>
      <c r="C4" s="2" t="inlineStr">
        <is>
          <t>Phage &amp; dilution</t>
        </is>
      </c>
      <c r="D4" s="2" t="inlineStr">
        <is>
          <t>Slide number</t>
        </is>
      </c>
      <c r="E4" s="2" t="inlineStr">
        <is>
          <t>yellow</t>
        </is>
      </c>
      <c r="F4" s="2" t="inlineStr">
        <is>
          <t>summ / slide</t>
        </is>
      </c>
      <c r="G4" s="2" t="inlineStr">
        <is>
          <t>well area/grid area</t>
        </is>
      </c>
      <c r="H4" s="2" t="inlineStr">
        <is>
          <t>total yellow polonies/ grid</t>
        </is>
      </c>
      <c r="AG4" s="2" t="inlineStr">
        <is>
          <t>average number of polonies/grid</t>
        </is>
      </c>
      <c r="AH4" s="2" t="inlineStr">
        <is>
          <t>polonies/ slide</t>
        </is>
      </c>
      <c r="AI4" s="2" t="inlineStr">
        <is>
          <t>dilution</t>
        </is>
      </c>
      <c r="AJ4" s="2" t="inlineStr">
        <is>
          <t>sample volume/ slide</t>
        </is>
      </c>
      <c r="AK4" s="2" t="inlineStr">
        <is>
          <t xml:space="preserve"> polonies/ ml</t>
        </is>
      </c>
      <c r="AL4" s="2" t="inlineStr">
        <is>
          <t>%v diff btw slides</t>
        </is>
      </c>
      <c r="AM4" s="2" t="inlineStr">
        <is>
          <t xml:space="preserve">Average </t>
        </is>
      </c>
      <c r="AN4" s="2" t="inlineStr">
        <is>
          <t>Average - NTC</t>
        </is>
      </c>
      <c r="AO4" s="2" t="inlineStr">
        <is>
          <t>Efficiency average</t>
        </is>
      </c>
      <c r="AP4" s="2" t="inlineStr">
        <is>
          <t>Efficiency average-NTC</t>
        </is>
      </c>
      <c r="AQ4" s="2" t="inlineStr">
        <is>
          <t>pol/slide -NTC</t>
        </is>
      </c>
    </row>
    <row r="5"/>
    <row r="6">
      <c r="C6" t="inlineStr">
        <is>
          <t>PC</t>
        </is>
      </c>
      <c r="D6" t="inlineStr">
        <is>
          <t>A</t>
        </is>
      </c>
      <c r="E6" t="n">
        <v>0</v>
      </c>
      <c r="F6">
        <f>SUM(H7:AE7)</f>
        <v>196</v>
      </c>
      <c r="H6" t="inlineStr">
        <is>
          <t>Field-1</t>
        </is>
      </c>
      <c r="I6" t="inlineStr">
        <is>
          <t>Field-2</t>
        </is>
      </c>
      <c r="J6" t="inlineStr">
        <is>
          <t>Field-3</t>
        </is>
      </c>
      <c r="K6" t="inlineStr">
        <is>
          <t>Field-4</t>
        </is>
      </c>
      <c r="L6" t="inlineStr">
        <is>
          <t>Field-5</t>
        </is>
      </c>
      <c r="M6" t="inlineStr">
        <is>
          <t>Field-6</t>
        </is>
      </c>
      <c r="N6" t="inlineStr">
        <is>
          <t>Field-7</t>
        </is>
      </c>
      <c r="O6" t="inlineStr">
        <is>
          <t>Field-8</t>
        </is>
      </c>
      <c r="P6" t="inlineStr">
        <is>
          <t>Field-9</t>
        </is>
      </c>
      <c r="Q6" t="inlineStr">
        <is>
          <t>Field-10</t>
        </is>
      </c>
      <c r="R6" t="inlineStr">
        <is>
          <t>Field-11</t>
        </is>
      </c>
      <c r="S6" t="inlineStr">
        <is>
          <t>Field-12</t>
        </is>
      </c>
      <c r="T6" t="inlineStr">
        <is>
          <t>Field-13</t>
        </is>
      </c>
      <c r="U6" t="inlineStr">
        <is>
          <t>Field-14</t>
        </is>
      </c>
      <c r="V6" t="inlineStr">
        <is>
          <t>Field-15</t>
        </is>
      </c>
      <c r="W6" t="inlineStr">
        <is>
          <t>Field-16</t>
        </is>
      </c>
      <c r="X6" t="inlineStr">
        <is>
          <t>Field-17</t>
        </is>
      </c>
      <c r="Y6" t="inlineStr">
        <is>
          <t>Field-18</t>
        </is>
      </c>
      <c r="Z6" t="inlineStr">
        <is>
          <t>Field-19</t>
        </is>
      </c>
      <c r="AA6" t="inlineStr">
        <is>
          <t>Field-20</t>
        </is>
      </c>
      <c r="AB6" t="inlineStr">
        <is>
          <t>Field-21</t>
        </is>
      </c>
      <c r="AC6" t="inlineStr">
        <is>
          <t>Field-22</t>
        </is>
      </c>
      <c r="AD6" t="inlineStr">
        <is>
          <t>Field-23</t>
        </is>
      </c>
      <c r="AE6" t="inlineStr">
        <is>
          <t>Field-24</t>
        </is>
      </c>
    </row>
    <row r="7">
      <c r="G7" s="3" t="n">
        <v>29</v>
      </c>
      <c r="H7" t="n">
        <v>10</v>
      </c>
      <c r="I7" t="n">
        <v>17</v>
      </c>
      <c r="J7" t="n">
        <v>11</v>
      </c>
      <c r="K7" t="n">
        <v>25</v>
      </c>
      <c r="L7" t="n">
        <v>10</v>
      </c>
      <c r="M7" t="n">
        <v>26</v>
      </c>
      <c r="N7" t="n">
        <v>29</v>
      </c>
      <c r="O7" t="n">
        <v>11</v>
      </c>
      <c r="P7" t="n">
        <v>14</v>
      </c>
      <c r="Q7" t="n">
        <v>22</v>
      </c>
      <c r="R7" t="n">
        <v>10</v>
      </c>
      <c r="S7" t="n">
        <v>11</v>
      </c>
      <c r="AG7" s="3">
        <f>AVERAGE(H7:AE7)</f>
        <v>16.333333333333332</v>
      </c>
      <c r="AH7" s="4">
        <f>AG7*G7</f>
        <v>473.66666666666663</v>
      </c>
      <c r="AI7" t="n">
        <v>1</v>
      </c>
      <c r="AJ7">
        <f>5.4*11.6/25</f>
        <v>2.5056</v>
      </c>
      <c r="AK7" s="5">
        <f>(AH7)*1000/AJ7*AI7</f>
        <v>189043.2098765432</v>
      </c>
      <c r="AL7" s="3">
        <f>100*ABS(AH7-AH9)/AVERAGE(AH7,AH9)</f>
        <v>5.940594059405941</v>
      </c>
      <c r="AM7" s="4">
        <f>AVERAGE(AH7,AH9)</f>
        <v>488.16666666666663</v>
      </c>
      <c r="AN7" s="3" t="e">
        <f>AM7-#REF!</f>
        <v>#REF!</v>
      </c>
      <c r="AO7" s="3">
        <f>100*AM7/1500</f>
        <v>32.544444444444444</v>
      </c>
      <c r="AP7" t="e">
        <f>100*AN7/1000</f>
        <v>#REF!</v>
      </c>
      <c r="AQ7" s="4" t="e">
        <f>AH7-#REF!</f>
        <v>#REF!</v>
      </c>
    </row>
    <row r="8">
      <c r="B8" t="inlineStr">
        <is>
          <t>Controls</t>
        </is>
      </c>
      <c r="D8" t="inlineStr">
        <is>
          <t>B</t>
        </is>
      </c>
      <c r="F8">
        <f>SUM(H9:AE9)</f>
        <v>208</v>
      </c>
      <c r="H8" t="inlineStr">
        <is>
          <t>Field-1</t>
        </is>
      </c>
      <c r="I8" t="inlineStr">
        <is>
          <t>Field-2</t>
        </is>
      </c>
      <c r="J8" t="inlineStr">
        <is>
          <t>Field-3</t>
        </is>
      </c>
      <c r="K8" t="inlineStr">
        <is>
          <t>Field-4</t>
        </is>
      </c>
      <c r="L8" t="inlineStr">
        <is>
          <t>Field-5</t>
        </is>
      </c>
      <c r="M8" t="inlineStr">
        <is>
          <t>Field-6</t>
        </is>
      </c>
      <c r="N8" t="inlineStr">
        <is>
          <t>Field-7</t>
        </is>
      </c>
      <c r="O8" t="inlineStr">
        <is>
          <t>Field-8</t>
        </is>
      </c>
      <c r="P8" t="inlineStr">
        <is>
          <t>Field-9</t>
        </is>
      </c>
      <c r="Q8" t="inlineStr">
        <is>
          <t>Field-10</t>
        </is>
      </c>
      <c r="R8" t="inlineStr">
        <is>
          <t>Field-11</t>
        </is>
      </c>
      <c r="S8" t="inlineStr">
        <is>
          <t>Field-12</t>
        </is>
      </c>
      <c r="T8" t="inlineStr">
        <is>
          <t>Field-13</t>
        </is>
      </c>
      <c r="U8" t="inlineStr">
        <is>
          <t>Field-14</t>
        </is>
      </c>
      <c r="V8" t="inlineStr">
        <is>
          <t>Field-15</t>
        </is>
      </c>
      <c r="W8" t="inlineStr">
        <is>
          <t>Field-16</t>
        </is>
      </c>
      <c r="X8" t="inlineStr">
        <is>
          <t>Field-17</t>
        </is>
      </c>
      <c r="Y8" t="inlineStr">
        <is>
          <t>Field-18</t>
        </is>
      </c>
      <c r="Z8" t="inlineStr">
        <is>
          <t>Field-19</t>
        </is>
      </c>
      <c r="AA8" t="inlineStr">
        <is>
          <t>Field-20</t>
        </is>
      </c>
      <c r="AB8" t="inlineStr">
        <is>
          <t>Field-21</t>
        </is>
      </c>
      <c r="AC8" t="inlineStr">
        <is>
          <t>Field-22</t>
        </is>
      </c>
      <c r="AD8" t="inlineStr">
        <is>
          <t>Field-23</t>
        </is>
      </c>
      <c r="AE8" t="inlineStr">
        <is>
          <t>Field-24</t>
        </is>
      </c>
    </row>
    <row r="9">
      <c r="G9" s="3" t="n">
        <v>29</v>
      </c>
      <c r="H9" t="n">
        <v>10</v>
      </c>
      <c r="I9" t="n">
        <v>22</v>
      </c>
      <c r="J9" t="n">
        <v>10</v>
      </c>
      <c r="K9" t="n">
        <v>13</v>
      </c>
      <c r="L9" t="n">
        <v>16</v>
      </c>
      <c r="M9" t="n">
        <v>27</v>
      </c>
      <c r="N9" t="n">
        <v>22</v>
      </c>
      <c r="O9" t="n">
        <v>15</v>
      </c>
      <c r="P9" t="n">
        <v>18</v>
      </c>
      <c r="Q9" t="n">
        <v>10</v>
      </c>
      <c r="R9" t="n">
        <v>27</v>
      </c>
      <c r="S9" t="n">
        <v>18</v>
      </c>
      <c r="AG9" s="3">
        <f>AVERAGE(H9:AE9)</f>
        <v>17.333333333333332</v>
      </c>
      <c r="AH9" s="4">
        <f>AG9*G9</f>
        <v>502.66666666666663</v>
      </c>
      <c r="AI9" t="n">
        <v>1</v>
      </c>
      <c r="AJ9">
        <f>5.4*11.6/25</f>
        <v>2.5056</v>
      </c>
      <c r="AK9" s="5">
        <f>(AH9)*1000/AJ9*AI9</f>
        <v>200617.28395061727</v>
      </c>
      <c r="AL9" s="3" t="n"/>
      <c r="AM9" s="4">
        <f>AVERAGE(AH9,AH11)</f>
        <v>502.66666666666663</v>
      </c>
      <c r="AN9" s="3" t="e">
        <f>AM9-#REF!</f>
        <v>#REF!</v>
      </c>
      <c r="AO9" s="3">
        <f>100*AM9/1500</f>
        <v>33.51111111111111</v>
      </c>
      <c r="AP9" t="e">
        <f>100*AN9/1000</f>
        <v>#REF!</v>
      </c>
      <c r="AQ9" s="4" t="e">
        <f>AH9-#REF!</f>
        <v>#REF!</v>
      </c>
    </row>
    <row r="11">
      <c r="C11" t="inlineStr">
        <is>
          <t>NTC</t>
        </is>
      </c>
      <c r="D11" t="inlineStr">
        <is>
          <t>A</t>
        </is>
      </c>
      <c r="F11">
        <f>SUM(H12:AE12)</f>
        <v>2</v>
      </c>
      <c r="H11" t="inlineStr">
        <is>
          <t>Field-1</t>
        </is>
      </c>
      <c r="I11" t="inlineStr">
        <is>
          <t>Field-2</t>
        </is>
      </c>
      <c r="J11" t="inlineStr">
        <is>
          <t>Field-3</t>
        </is>
      </c>
      <c r="K11" t="inlineStr">
        <is>
          <t>Field-4</t>
        </is>
      </c>
      <c r="L11" t="inlineStr">
        <is>
          <t>Field-5</t>
        </is>
      </c>
      <c r="M11" t="inlineStr">
        <is>
          <t>Field-6</t>
        </is>
      </c>
      <c r="N11" t="inlineStr">
        <is>
          <t>Field-7</t>
        </is>
      </c>
      <c r="O11" t="inlineStr">
        <is>
          <t>Field-8</t>
        </is>
      </c>
      <c r="P11" t="inlineStr">
        <is>
          <t>Field-9</t>
        </is>
      </c>
      <c r="Q11" t="inlineStr">
        <is>
          <t>Field-10</t>
        </is>
      </c>
      <c r="R11" t="inlineStr">
        <is>
          <t>Field-11</t>
        </is>
      </c>
      <c r="S11" t="inlineStr">
        <is>
          <t>Field-12</t>
        </is>
      </c>
      <c r="T11" t="inlineStr">
        <is>
          <t>Field-13</t>
        </is>
      </c>
      <c r="U11" t="inlineStr">
        <is>
          <t>Field-14</t>
        </is>
      </c>
      <c r="V11" t="inlineStr">
        <is>
          <t>Field-15</t>
        </is>
      </c>
      <c r="W11" t="inlineStr">
        <is>
          <t>Field-16</t>
        </is>
      </c>
      <c r="X11" t="inlineStr">
        <is>
          <t>Field-17</t>
        </is>
      </c>
      <c r="Y11" t="inlineStr">
        <is>
          <t>Field-18</t>
        </is>
      </c>
      <c r="Z11" t="inlineStr">
        <is>
          <t>Field-19</t>
        </is>
      </c>
      <c r="AA11" t="inlineStr">
        <is>
          <t>Field-20</t>
        </is>
      </c>
      <c r="AB11" t="inlineStr">
        <is>
          <t>Field-21</t>
        </is>
      </c>
      <c r="AC11" t="inlineStr">
        <is>
          <t>Field-22</t>
        </is>
      </c>
      <c r="AD11" t="inlineStr">
        <is>
          <t>Field-23</t>
        </is>
      </c>
      <c r="AE11" t="inlineStr">
        <is>
          <t>Field-24</t>
        </is>
      </c>
    </row>
    <row r="12">
      <c r="G12" s="3" t="n">
        <v>29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AG12" s="3">
        <f>AVERAGE(H12:AE12)</f>
        <v>0.16666666666666666</v>
      </c>
      <c r="AH12" s="4">
        <f>AG12*G12</f>
        <v>4.833333333333333</v>
      </c>
      <c r="AI12" t="n">
        <v>1</v>
      </c>
      <c r="AJ12">
        <f>5.4*11.6/25</f>
        <v>2.5056</v>
      </c>
      <c r="AK12" s="5">
        <f>(AH12)*1000/AJ12*AI12</f>
        <v>1929.0123456790125</v>
      </c>
      <c r="AL12" s="3" t="e">
        <f>100*ABS(AH12-#REF!)/AVERAGE(AH12,#REF!)</f>
        <v>#REF!</v>
      </c>
      <c r="AM12" s="4" t="e">
        <f>AVERAGE(AH12,#REF!)</f>
        <v>#REF!</v>
      </c>
      <c r="AN12" s="3" t="e">
        <f>AM12-#REF!</f>
        <v>#REF!</v>
      </c>
      <c r="AO12" s="3" t="e">
        <f>100*AM12/1500</f>
        <v>#REF!</v>
      </c>
      <c r="AP12" t="e">
        <f>100*AN12/1000</f>
        <v>#REF!</v>
      </c>
      <c r="AQ12" s="4" t="e">
        <f>AH12-#REF!</f>
        <v>#REF!</v>
      </c>
    </row>
    <row r="16">
      <c r="C16" t="inlineStr">
        <is>
          <t>PC</t>
        </is>
      </c>
      <c r="D16" t="inlineStr">
        <is>
          <t>A</t>
        </is>
      </c>
      <c r="E16" t="n">
        <v>0</v>
      </c>
      <c r="F16">
        <f>SUM(H17:AE17)</f>
        <v>259</v>
      </c>
      <c r="H16" t="inlineStr">
        <is>
          <t>Field-1</t>
        </is>
      </c>
      <c r="I16" t="inlineStr">
        <is>
          <t>Field-2</t>
        </is>
      </c>
      <c r="J16" t="inlineStr">
        <is>
          <t>Field-3</t>
        </is>
      </c>
      <c r="K16" t="inlineStr">
        <is>
          <t>Field-4</t>
        </is>
      </c>
      <c r="L16" t="inlineStr">
        <is>
          <t>Field-5</t>
        </is>
      </c>
      <c r="M16" t="inlineStr">
        <is>
          <t>Field-6</t>
        </is>
      </c>
      <c r="N16" t="inlineStr">
        <is>
          <t>Field-7</t>
        </is>
      </c>
      <c r="O16" t="inlineStr">
        <is>
          <t>Field-8</t>
        </is>
      </c>
      <c r="P16" t="inlineStr">
        <is>
          <t>Field-9</t>
        </is>
      </c>
      <c r="Q16" t="inlineStr">
        <is>
          <t>Field-10</t>
        </is>
      </c>
      <c r="R16" t="inlineStr">
        <is>
          <t>Field-11</t>
        </is>
      </c>
      <c r="S16" t="inlineStr">
        <is>
          <t>Field-12</t>
        </is>
      </c>
      <c r="T16" t="inlineStr">
        <is>
          <t>Field-13</t>
        </is>
      </c>
      <c r="U16" t="inlineStr">
        <is>
          <t>Field-14</t>
        </is>
      </c>
      <c r="V16" t="inlineStr">
        <is>
          <t>Field-15</t>
        </is>
      </c>
      <c r="W16" t="inlineStr">
        <is>
          <t>Field-16</t>
        </is>
      </c>
      <c r="X16" t="inlineStr">
        <is>
          <t>Field-17</t>
        </is>
      </c>
      <c r="Y16" t="inlineStr">
        <is>
          <t>Field-18</t>
        </is>
      </c>
      <c r="Z16" t="inlineStr">
        <is>
          <t>Field-19</t>
        </is>
      </c>
      <c r="AA16" t="inlineStr">
        <is>
          <t>Field-20</t>
        </is>
      </c>
      <c r="AB16" t="inlineStr">
        <is>
          <t>Field-21</t>
        </is>
      </c>
      <c r="AC16" t="inlineStr">
        <is>
          <t>Field-22</t>
        </is>
      </c>
      <c r="AD16" t="inlineStr">
        <is>
          <t>Field-23</t>
        </is>
      </c>
      <c r="AE16" t="inlineStr">
        <is>
          <t>Field-24</t>
        </is>
      </c>
    </row>
    <row r="17">
      <c r="G17" s="3" t="n">
        <v>29</v>
      </c>
      <c r="H17" t="n">
        <v>24</v>
      </c>
      <c r="I17" t="n">
        <v>30</v>
      </c>
      <c r="J17" t="n">
        <v>13</v>
      </c>
      <c r="K17" t="n">
        <v>28</v>
      </c>
      <c r="L17" t="n">
        <v>13</v>
      </c>
      <c r="M17" t="n">
        <v>12</v>
      </c>
      <c r="N17" t="n">
        <v>27</v>
      </c>
      <c r="O17" t="n">
        <v>30</v>
      </c>
      <c r="P17" t="n">
        <v>18</v>
      </c>
      <c r="Q17" t="n">
        <v>18</v>
      </c>
      <c r="R17" t="n">
        <v>19</v>
      </c>
      <c r="S17" t="n">
        <v>27</v>
      </c>
      <c r="AG17" s="3">
        <f>AVERAGE(H17:AE17)</f>
        <v>21.583333333333332</v>
      </c>
      <c r="AH17" s="4">
        <f>AG17*G17</f>
        <v>625.9166666666666</v>
      </c>
      <c r="AI17" t="n">
        <v>1</v>
      </c>
      <c r="AJ17">
        <f>5.4*11.6/25</f>
        <v>2.5056</v>
      </c>
      <c r="AK17" s="5">
        <f>(AH17)*1000/AJ17*AI17</f>
        <v>249807.0987654321</v>
      </c>
      <c r="AL17" s="3">
        <f>100*ABS(AH17-AH19)/AVERAGE(AH17,AH19)</f>
        <v>4.158790170132332</v>
      </c>
      <c r="AM17" s="4">
        <f>AVERAGE(AH17,AH19)</f>
        <v>639.2083333333333</v>
      </c>
      <c r="AN17" s="3" t="e">
        <f>AM17-#REF!</f>
        <v>#REF!</v>
      </c>
      <c r="AO17" s="3">
        <f>100*AM17/1500</f>
        <v>42.61388888888889</v>
      </c>
      <c r="AP17" t="e">
        <f>100*AN17/1000</f>
        <v>#REF!</v>
      </c>
      <c r="AQ17" s="4" t="e">
        <f>AH17-#REF!</f>
        <v>#REF!</v>
      </c>
    </row>
    <row r="18">
      <c r="B18" t="inlineStr">
        <is>
          <t>Controls</t>
        </is>
      </c>
      <c r="D18" t="inlineStr">
        <is>
          <t>B</t>
        </is>
      </c>
      <c r="F18">
        <f>SUM(H19:AE19)</f>
        <v>270</v>
      </c>
      <c r="H18" t="inlineStr">
        <is>
          <t>Field-1</t>
        </is>
      </c>
      <c r="I18" t="inlineStr">
        <is>
          <t>Field-2</t>
        </is>
      </c>
      <c r="J18" t="inlineStr">
        <is>
          <t>Field-3</t>
        </is>
      </c>
      <c r="K18" t="inlineStr">
        <is>
          <t>Field-4</t>
        </is>
      </c>
      <c r="L18" t="inlineStr">
        <is>
          <t>Field-5</t>
        </is>
      </c>
      <c r="M18" t="inlineStr">
        <is>
          <t>Field-6</t>
        </is>
      </c>
      <c r="N18" t="inlineStr">
        <is>
          <t>Field-7</t>
        </is>
      </c>
      <c r="O18" t="inlineStr">
        <is>
          <t>Field-8</t>
        </is>
      </c>
      <c r="P18" t="inlineStr">
        <is>
          <t>Field-9</t>
        </is>
      </c>
      <c r="Q18" t="inlineStr">
        <is>
          <t>Field-10</t>
        </is>
      </c>
      <c r="R18" t="inlineStr">
        <is>
          <t>Field-11</t>
        </is>
      </c>
      <c r="S18" t="inlineStr">
        <is>
          <t>Field-12</t>
        </is>
      </c>
      <c r="T18" t="inlineStr">
        <is>
          <t>Field-13</t>
        </is>
      </c>
      <c r="U18" t="inlineStr">
        <is>
          <t>Field-14</t>
        </is>
      </c>
      <c r="V18" t="inlineStr">
        <is>
          <t>Field-15</t>
        </is>
      </c>
      <c r="W18" t="inlineStr">
        <is>
          <t>Field-16</t>
        </is>
      </c>
      <c r="X18" t="inlineStr">
        <is>
          <t>Field-17</t>
        </is>
      </c>
      <c r="Y18" t="inlineStr">
        <is>
          <t>Field-18</t>
        </is>
      </c>
      <c r="Z18" t="inlineStr">
        <is>
          <t>Field-19</t>
        </is>
      </c>
      <c r="AA18" t="inlineStr">
        <is>
          <t>Field-20</t>
        </is>
      </c>
      <c r="AB18" t="inlineStr">
        <is>
          <t>Field-21</t>
        </is>
      </c>
      <c r="AC18" t="inlineStr">
        <is>
          <t>Field-22</t>
        </is>
      </c>
      <c r="AD18" t="inlineStr">
        <is>
          <t>Field-23</t>
        </is>
      </c>
      <c r="AE18" t="inlineStr">
        <is>
          <t>Field-24</t>
        </is>
      </c>
    </row>
    <row r="19">
      <c r="G19" s="3" t="n">
        <v>29</v>
      </c>
      <c r="H19" t="n">
        <v>25</v>
      </c>
      <c r="I19" t="n">
        <v>20</v>
      </c>
      <c r="J19" t="n">
        <v>11</v>
      </c>
      <c r="K19" t="n">
        <v>29</v>
      </c>
      <c r="L19" t="n">
        <v>14</v>
      </c>
      <c r="M19" t="n">
        <v>26</v>
      </c>
      <c r="N19" t="n">
        <v>28</v>
      </c>
      <c r="O19" t="n">
        <v>24</v>
      </c>
      <c r="P19" t="n">
        <v>20</v>
      </c>
      <c r="Q19" t="n">
        <v>24</v>
      </c>
      <c r="R19" t="n">
        <v>30</v>
      </c>
      <c r="S19" t="n">
        <v>19</v>
      </c>
      <c r="AG19" s="3">
        <f>AVERAGE(H19:AE19)</f>
        <v>22.5</v>
      </c>
      <c r="AH19" s="4">
        <f>AG19*G19</f>
        <v>652.5</v>
      </c>
      <c r="AI19" t="n">
        <v>1</v>
      </c>
      <c r="AJ19">
        <f>5.4*11.6/25</f>
        <v>2.5056</v>
      </c>
      <c r="AK19" s="5">
        <f>(AH19)*1000/AJ19*AI19</f>
        <v>260416.6666666667</v>
      </c>
      <c r="AL19" s="3" t="n"/>
      <c r="AM19" s="4">
        <f>AVERAGE(AH19,AH21)</f>
        <v>652.5</v>
      </c>
      <c r="AN19" s="3" t="e">
        <f>AM19-#REF!</f>
        <v>#REF!</v>
      </c>
      <c r="AO19" s="3">
        <f>100*AM19/1500</f>
        <v>43.5</v>
      </c>
      <c r="AP19" t="e">
        <f>100*AN19/1000</f>
        <v>#REF!</v>
      </c>
      <c r="AQ19" s="4" t="e">
        <f>AH19-#REF!</f>
        <v>#REF!</v>
      </c>
    </row>
    <row r="21">
      <c r="C21" t="inlineStr">
        <is>
          <t>NTC</t>
        </is>
      </c>
      <c r="D21" t="inlineStr">
        <is>
          <t>A</t>
        </is>
      </c>
      <c r="F21">
        <f>SUM(H22:AE22)</f>
        <v>5</v>
      </c>
      <c r="H21" t="inlineStr">
        <is>
          <t>Field-1</t>
        </is>
      </c>
      <c r="I21" t="inlineStr">
        <is>
          <t>Field-2</t>
        </is>
      </c>
      <c r="J21" t="inlineStr">
        <is>
          <t>Field-3</t>
        </is>
      </c>
      <c r="K21" t="inlineStr">
        <is>
          <t>Field-4</t>
        </is>
      </c>
      <c r="L21" t="inlineStr">
        <is>
          <t>Field-5</t>
        </is>
      </c>
      <c r="M21" t="inlineStr">
        <is>
          <t>Field-6</t>
        </is>
      </c>
      <c r="N21" t="inlineStr">
        <is>
          <t>Field-7</t>
        </is>
      </c>
      <c r="O21" t="inlineStr">
        <is>
          <t>Field-8</t>
        </is>
      </c>
      <c r="P21" t="inlineStr">
        <is>
          <t>Field-9</t>
        </is>
      </c>
      <c r="Q21" t="inlineStr">
        <is>
          <t>Field-10</t>
        </is>
      </c>
      <c r="R21" t="inlineStr">
        <is>
          <t>Field-11</t>
        </is>
      </c>
      <c r="S21" t="inlineStr">
        <is>
          <t>Field-12</t>
        </is>
      </c>
      <c r="T21" t="inlineStr">
        <is>
          <t>Field-13</t>
        </is>
      </c>
      <c r="U21" t="inlineStr">
        <is>
          <t>Field-14</t>
        </is>
      </c>
      <c r="V21" t="inlineStr">
        <is>
          <t>Field-15</t>
        </is>
      </c>
      <c r="W21" t="inlineStr">
        <is>
          <t>Field-16</t>
        </is>
      </c>
      <c r="X21" t="inlineStr">
        <is>
          <t>Field-17</t>
        </is>
      </c>
      <c r="Y21" t="inlineStr">
        <is>
          <t>Field-18</t>
        </is>
      </c>
      <c r="Z21" t="inlineStr">
        <is>
          <t>Field-19</t>
        </is>
      </c>
      <c r="AA21" t="inlineStr">
        <is>
          <t>Field-20</t>
        </is>
      </c>
      <c r="AB21" t="inlineStr">
        <is>
          <t>Field-21</t>
        </is>
      </c>
      <c r="AC21" t="inlineStr">
        <is>
          <t>Field-22</t>
        </is>
      </c>
      <c r="AD21" t="inlineStr">
        <is>
          <t>Field-23</t>
        </is>
      </c>
      <c r="AE21" t="inlineStr">
        <is>
          <t>Field-24</t>
        </is>
      </c>
    </row>
    <row r="22">
      <c r="G22" s="3" t="n">
        <v>29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AG22" s="3">
        <f>AVERAGE(H22:AE22)</f>
        <v>0.4166666666666667</v>
      </c>
      <c r="AH22" s="4">
        <f>AG22*G22</f>
        <v>12.083333333333334</v>
      </c>
      <c r="AI22" t="n">
        <v>1</v>
      </c>
      <c r="AJ22">
        <f>5.4*11.6/25</f>
        <v>2.5056</v>
      </c>
      <c r="AK22" s="5">
        <f>(AH22)*1000/AJ22*AI22</f>
        <v>4822.530864197532</v>
      </c>
      <c r="AL22" s="3" t="e">
        <f>100*ABS(AH22-#REF!)/AVERAGE(AH22,#REF!)</f>
        <v>#REF!</v>
      </c>
      <c r="AM22" s="4" t="e">
        <f>AVERAGE(AH22,#REF!)</f>
        <v>#REF!</v>
      </c>
      <c r="AN22" s="3" t="e">
        <f>AM22-#REF!</f>
        <v>#REF!</v>
      </c>
      <c r="AO22" s="3" t="e">
        <f>100*AM22/1500</f>
        <v>#REF!</v>
      </c>
      <c r="AP22" t="e">
        <f>100*AN22/1000</f>
        <v>#REF!</v>
      </c>
      <c r="AQ22" s="4" t="e">
        <f>AH22-#REF!</f>
        <v>#REF!</v>
      </c>
    </row>
  </sheetData>
  <mergeCells count="42">
    <mergeCell ref="E8:E9"/>
    <mergeCell ref="C4:C5"/>
    <mergeCell ref="B18:B19"/>
    <mergeCell ref="E4:E5"/>
    <mergeCell ref="D21:D22"/>
    <mergeCell ref="B8:B9"/>
    <mergeCell ref="B11:B12"/>
    <mergeCell ref="AH4:AH5"/>
    <mergeCell ref="D11:D12"/>
    <mergeCell ref="C16:C17"/>
    <mergeCell ref="F18:F19"/>
    <mergeCell ref="F21:F22"/>
    <mergeCell ref="H4:AE5"/>
    <mergeCell ref="F8:F9"/>
    <mergeCell ref="D4:D5"/>
    <mergeCell ref="C21:C22"/>
    <mergeCell ref="AI4:AI5"/>
    <mergeCell ref="D16:D17"/>
    <mergeCell ref="E6:E7"/>
    <mergeCell ref="C11:C12"/>
    <mergeCell ref="E11:E12"/>
    <mergeCell ref="B6:B7"/>
    <mergeCell ref="C8:C9"/>
    <mergeCell ref="D18:D19"/>
    <mergeCell ref="G4:G5"/>
    <mergeCell ref="D8:D9"/>
    <mergeCell ref="AJ4:AJ5"/>
    <mergeCell ref="C18:C19"/>
    <mergeCell ref="E16:E17"/>
    <mergeCell ref="F11:F12"/>
    <mergeCell ref="B4:B5"/>
    <mergeCell ref="F4:F5"/>
    <mergeCell ref="E18:E19"/>
    <mergeCell ref="E21:E22"/>
    <mergeCell ref="AG4:AG5"/>
    <mergeCell ref="B16:B17"/>
    <mergeCell ref="C6:C7"/>
    <mergeCell ref="AK4:AK5"/>
    <mergeCell ref="D6:D7"/>
    <mergeCell ref="F16:F17"/>
    <mergeCell ref="B21:B22"/>
    <mergeCell ref="F6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Synthetic lab-format template (test data)</dc:title>
  <dc:creator>Polony Review test data</dc:creator>
  <cp:lastModifiedBy>Polony Review test data</cp:lastModifiedBy>
  <dcterms:created xsi:type="dcterms:W3CDTF">2026-03-18T12:00:00Z</dcterms:created>
  <dcterms:modified xsi:type="dcterms:W3CDTF">2026-03-18T12:00:00Z</dcterms:modified>
</cp:coreProperties>
</file>