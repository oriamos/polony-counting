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kx/Documents/Technion/!_DESALT/DATA/POLONY/2026/09_September/29-09-2026_T7AB_15-09-2026/"/>
    </mc:Choice>
  </mc:AlternateContent>
  <xr:revisionPtr revIDLastSave="0" documentId="13_ncr:1_{49A85852-D534-0446-AA56-1C1A6722F8AA}" xr6:coauthVersionLast="47" xr6:coauthVersionMax="47" xr10:uidLastSave="{00000000-0000-0000-0000-000000000000}"/>
  <bookViews>
    <workbookView xWindow="32020" yWindow="7440" windowWidth="35580" windowHeight="13400" xr2:uid="{59E0C7A2-C083-DC4D-9CBD-68174FD35D83}"/>
  </bookViews>
  <sheets>
    <sheet name="Clade B" sheetId="10" r:id="rId1"/>
    <sheet name="Clade A" sheetId="17" r:id="rId2"/>
    <sheet name="Controls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2" i="16" l="1"/>
  <c r="AM22" i="16"/>
  <c r="AN22" i="16" s="1"/>
  <c r="AP22" i="16" s="1"/>
  <c r="AJ22" i="16"/>
  <c r="AG22" i="16"/>
  <c r="AH22" i="16" s="1"/>
  <c r="F21" i="16"/>
  <c r="AJ19" i="16"/>
  <c r="AG19" i="16"/>
  <c r="AH19" i="16" s="1"/>
  <c r="F18" i="16"/>
  <c r="AJ17" i="16"/>
  <c r="AG17" i="16"/>
  <c r="AH17" i="16" s="1"/>
  <c r="F16" i="16"/>
  <c r="AM64" i="17"/>
  <c r="AO64" i="17" s="1"/>
  <c r="AJ64" i="17"/>
  <c r="AG64" i="17"/>
  <c r="AH64" i="17" s="1"/>
  <c r="AQ64" i="17" s="1"/>
  <c r="F63" i="17"/>
  <c r="AJ62" i="17"/>
  <c r="AG62" i="17"/>
  <c r="AH62" i="17" s="1"/>
  <c r="F61" i="17"/>
  <c r="AM59" i="17"/>
  <c r="AN59" i="17" s="1"/>
  <c r="AP59" i="17" s="1"/>
  <c r="AJ59" i="17"/>
  <c r="AG59" i="17"/>
  <c r="AH59" i="17" s="1"/>
  <c r="F58" i="17"/>
  <c r="AJ57" i="17"/>
  <c r="AG57" i="17"/>
  <c r="AH57" i="17" s="1"/>
  <c r="AK57" i="17" s="1"/>
  <c r="F56" i="17"/>
  <c r="AM54" i="17"/>
  <c r="AN54" i="17" s="1"/>
  <c r="AP54" i="17" s="1"/>
  <c r="AJ54" i="17"/>
  <c r="AG54" i="17"/>
  <c r="AH54" i="17" s="1"/>
  <c r="F53" i="17"/>
  <c r="AJ52" i="17"/>
  <c r="AG52" i="17"/>
  <c r="AH52" i="17" s="1"/>
  <c r="F51" i="17"/>
  <c r="AM49" i="17"/>
  <c r="AN49" i="17" s="1"/>
  <c r="AP49" i="17" s="1"/>
  <c r="AJ49" i="17"/>
  <c r="AG49" i="17"/>
  <c r="AH49" i="17" s="1"/>
  <c r="F48" i="17"/>
  <c r="AJ47" i="17"/>
  <c r="AG47" i="17"/>
  <c r="AH47" i="17" s="1"/>
  <c r="F46" i="17"/>
  <c r="AM44" i="17"/>
  <c r="AN44" i="17" s="1"/>
  <c r="AP44" i="17" s="1"/>
  <c r="AJ44" i="17"/>
  <c r="AG44" i="17"/>
  <c r="AH44" i="17" s="1"/>
  <c r="F43" i="17"/>
  <c r="AJ42" i="17"/>
  <c r="AG42" i="17"/>
  <c r="AH42" i="17" s="1"/>
  <c r="F41" i="17"/>
  <c r="AM39" i="17"/>
  <c r="AO39" i="17" s="1"/>
  <c r="AJ39" i="17"/>
  <c r="AG39" i="17"/>
  <c r="AH39" i="17" s="1"/>
  <c r="F38" i="17"/>
  <c r="AJ37" i="17"/>
  <c r="AG37" i="17"/>
  <c r="AH37" i="17" s="1"/>
  <c r="F36" i="17"/>
  <c r="AM34" i="17"/>
  <c r="AO34" i="17" s="1"/>
  <c r="AJ34" i="17"/>
  <c r="AG34" i="17"/>
  <c r="AH34" i="17" s="1"/>
  <c r="F33" i="17"/>
  <c r="AJ32" i="17"/>
  <c r="AG32" i="17"/>
  <c r="AH32" i="17" s="1"/>
  <c r="F31" i="17"/>
  <c r="AM29" i="17"/>
  <c r="AO29" i="17" s="1"/>
  <c r="AJ29" i="17"/>
  <c r="AG29" i="17"/>
  <c r="AH29" i="17" s="1"/>
  <c r="F28" i="17"/>
  <c r="AJ27" i="17"/>
  <c r="AG27" i="17"/>
  <c r="AH27" i="17" s="1"/>
  <c r="F26" i="17"/>
  <c r="AM24" i="17"/>
  <c r="AO24" i="17" s="1"/>
  <c r="AJ24" i="17"/>
  <c r="AG24" i="17"/>
  <c r="AH24" i="17" s="1"/>
  <c r="AQ24" i="17" s="1"/>
  <c r="F23" i="17"/>
  <c r="AJ22" i="17"/>
  <c r="AG22" i="17"/>
  <c r="AH22" i="17" s="1"/>
  <c r="F21" i="17"/>
  <c r="AM19" i="17"/>
  <c r="AN19" i="17" s="1"/>
  <c r="AP19" i="17" s="1"/>
  <c r="AJ19" i="17"/>
  <c r="AG19" i="17"/>
  <c r="AH19" i="17" s="1"/>
  <c r="F18" i="17"/>
  <c r="AJ17" i="17"/>
  <c r="AG17" i="17"/>
  <c r="AH17" i="17" s="1"/>
  <c r="F16" i="17"/>
  <c r="AM14" i="17"/>
  <c r="AN14" i="17" s="1"/>
  <c r="AP14" i="17" s="1"/>
  <c r="AJ14" i="17"/>
  <c r="AH14" i="17"/>
  <c r="AQ14" i="17" s="1"/>
  <c r="AG14" i="17"/>
  <c r="F13" i="17"/>
  <c r="AJ12" i="17"/>
  <c r="AG12" i="17"/>
  <c r="AH12" i="17" s="1"/>
  <c r="F11" i="17"/>
  <c r="AM9" i="17"/>
  <c r="AN9" i="17" s="1"/>
  <c r="AP9" i="17" s="1"/>
  <c r="AJ9" i="17"/>
  <c r="AG9" i="17"/>
  <c r="AH9" i="17" s="1"/>
  <c r="F8" i="17"/>
  <c r="AJ7" i="17"/>
  <c r="AG7" i="17"/>
  <c r="AH7" i="17" s="1"/>
  <c r="F6" i="17"/>
  <c r="AM64" i="10"/>
  <c r="AO64" i="10" s="1"/>
  <c r="AJ64" i="10"/>
  <c r="AH64" i="10"/>
  <c r="AQ64" i="10" s="1"/>
  <c r="AG64" i="10"/>
  <c r="F63" i="10"/>
  <c r="AJ62" i="10"/>
  <c r="AG62" i="10"/>
  <c r="AH62" i="10" s="1"/>
  <c r="F61" i="10"/>
  <c r="AM59" i="10"/>
  <c r="AO59" i="10" s="1"/>
  <c r="AJ59" i="10"/>
  <c r="AG59" i="10"/>
  <c r="AH59" i="10" s="1"/>
  <c r="F58" i="10"/>
  <c r="AJ57" i="10"/>
  <c r="AG57" i="10"/>
  <c r="AH57" i="10" s="1"/>
  <c r="F56" i="10"/>
  <c r="AM54" i="10"/>
  <c r="AO54" i="10" s="1"/>
  <c r="AJ54" i="10"/>
  <c r="AG54" i="10"/>
  <c r="AH54" i="10" s="1"/>
  <c r="F53" i="10"/>
  <c r="AJ52" i="10"/>
  <c r="AG52" i="10"/>
  <c r="AH52" i="10" s="1"/>
  <c r="F51" i="10"/>
  <c r="AM49" i="10"/>
  <c r="AO49" i="10" s="1"/>
  <c r="AJ49" i="10"/>
  <c r="AG49" i="10"/>
  <c r="AH49" i="10" s="1"/>
  <c r="AQ49" i="10" s="1"/>
  <c r="F48" i="10"/>
  <c r="AJ47" i="10"/>
  <c r="AG47" i="10"/>
  <c r="AH47" i="10" s="1"/>
  <c r="F46" i="10"/>
  <c r="AM44" i="10"/>
  <c r="AN44" i="10" s="1"/>
  <c r="AP44" i="10" s="1"/>
  <c r="AJ44" i="10"/>
  <c r="AG44" i="10"/>
  <c r="AH44" i="10" s="1"/>
  <c r="AQ44" i="10" s="1"/>
  <c r="F43" i="10"/>
  <c r="AJ42" i="10"/>
  <c r="AG42" i="10"/>
  <c r="AH42" i="10" s="1"/>
  <c r="F41" i="10"/>
  <c r="AM39" i="10"/>
  <c r="AO39" i="10" s="1"/>
  <c r="AJ39" i="10"/>
  <c r="AG39" i="10"/>
  <c r="AH39" i="10" s="1"/>
  <c r="F38" i="10"/>
  <c r="AJ37" i="10"/>
  <c r="AG37" i="10"/>
  <c r="AH37" i="10" s="1"/>
  <c r="F36" i="10"/>
  <c r="AM34" i="10"/>
  <c r="AO34" i="10" s="1"/>
  <c r="AJ34" i="10"/>
  <c r="AG34" i="10"/>
  <c r="AH34" i="10" s="1"/>
  <c r="AQ34" i="10" s="1"/>
  <c r="F33" i="10"/>
  <c r="AJ32" i="10"/>
  <c r="AG32" i="10"/>
  <c r="AH32" i="10" s="1"/>
  <c r="F31" i="10"/>
  <c r="AM29" i="10"/>
  <c r="AO29" i="10" s="1"/>
  <c r="AJ29" i="10"/>
  <c r="AG29" i="10"/>
  <c r="AH29" i="10" s="1"/>
  <c r="AQ29" i="10" s="1"/>
  <c r="F28" i="10"/>
  <c r="AJ27" i="10"/>
  <c r="AG27" i="10"/>
  <c r="AH27" i="10" s="1"/>
  <c r="F26" i="10"/>
  <c r="AM24" i="10"/>
  <c r="AO24" i="10" s="1"/>
  <c r="AJ24" i="10"/>
  <c r="AH24" i="10"/>
  <c r="AQ24" i="10" s="1"/>
  <c r="AG24" i="10"/>
  <c r="F23" i="10"/>
  <c r="AJ22" i="10"/>
  <c r="AG22" i="10"/>
  <c r="AH22" i="10" s="1"/>
  <c r="F21" i="10"/>
  <c r="AM19" i="10"/>
  <c r="AO19" i="10" s="1"/>
  <c r="AJ19" i="10"/>
  <c r="AG19" i="10"/>
  <c r="AH19" i="10" s="1"/>
  <c r="AQ19" i="10" s="1"/>
  <c r="F18" i="10"/>
  <c r="AJ17" i="10"/>
  <c r="AG17" i="10"/>
  <c r="AH17" i="10" s="1"/>
  <c r="F16" i="10"/>
  <c r="AM14" i="10"/>
  <c r="AO14" i="10" s="1"/>
  <c r="AJ14" i="10"/>
  <c r="AG14" i="10"/>
  <c r="AH14" i="10" s="1"/>
  <c r="AQ14" i="10" s="1"/>
  <c r="F13" i="10"/>
  <c r="AJ12" i="10"/>
  <c r="AG12" i="10"/>
  <c r="AH12" i="10" s="1"/>
  <c r="F11" i="10"/>
  <c r="F6" i="10"/>
  <c r="AG7" i="10"/>
  <c r="AH7" i="10" s="1"/>
  <c r="AJ7" i="10"/>
  <c r="F8" i="10"/>
  <c r="AG9" i="10"/>
  <c r="AH9" i="10" s="1"/>
  <c r="AK9" i="10" s="1"/>
  <c r="AJ9" i="10"/>
  <c r="AM9" i="10"/>
  <c r="AJ12" i="16"/>
  <c r="AG12" i="16"/>
  <c r="AH12" i="16" s="1"/>
  <c r="F11" i="16"/>
  <c r="AJ9" i="16"/>
  <c r="AG9" i="16"/>
  <c r="AH9" i="16" s="1"/>
  <c r="F8" i="16"/>
  <c r="AJ7" i="16"/>
  <c r="AG7" i="16"/>
  <c r="AH7" i="16" s="1"/>
  <c r="F6" i="16"/>
  <c r="AO59" i="17" l="1"/>
  <c r="AQ59" i="10"/>
  <c r="AK59" i="10"/>
  <c r="AQ54" i="17"/>
  <c r="AK54" i="17"/>
  <c r="AN34" i="17"/>
  <c r="AP34" i="17" s="1"/>
  <c r="AK34" i="10"/>
  <c r="AO44" i="17"/>
  <c r="AO44" i="10"/>
  <c r="AO49" i="17"/>
  <c r="AK14" i="17"/>
  <c r="AO19" i="17"/>
  <c r="AO9" i="17"/>
  <c r="AQ47" i="17"/>
  <c r="AM47" i="17"/>
  <c r="AO47" i="17" s="1"/>
  <c r="AK47" i="17"/>
  <c r="AQ7" i="17"/>
  <c r="AM7" i="17"/>
  <c r="AO7" i="17" s="1"/>
  <c r="AK7" i="17"/>
  <c r="AK19" i="16"/>
  <c r="AQ19" i="16"/>
  <c r="AM19" i="16"/>
  <c r="AQ22" i="16"/>
  <c r="AL22" i="16"/>
  <c r="AK22" i="16"/>
  <c r="AM17" i="16"/>
  <c r="AL17" i="16"/>
  <c r="AK17" i="16"/>
  <c r="AQ17" i="16"/>
  <c r="AQ39" i="17"/>
  <c r="AK39" i="17"/>
  <c r="AM52" i="17"/>
  <c r="AL52" i="17"/>
  <c r="AK52" i="17"/>
  <c r="AQ52" i="17"/>
  <c r="AM12" i="17"/>
  <c r="AL12" i="17"/>
  <c r="AK12" i="17"/>
  <c r="AQ12" i="17"/>
  <c r="AK62" i="17"/>
  <c r="AQ62" i="17"/>
  <c r="AL62" i="17"/>
  <c r="AM62" i="17"/>
  <c r="AQ32" i="17"/>
  <c r="AM32" i="17"/>
  <c r="AK32" i="17"/>
  <c r="AL32" i="17"/>
  <c r="AQ49" i="17"/>
  <c r="AL47" i="17"/>
  <c r="AK49" i="17"/>
  <c r="AL17" i="17"/>
  <c r="AK22" i="17"/>
  <c r="AQ22" i="17"/>
  <c r="AM22" i="17"/>
  <c r="AL22" i="17"/>
  <c r="AM27" i="17"/>
  <c r="AL27" i="17"/>
  <c r="AK27" i="17"/>
  <c r="AQ27" i="17"/>
  <c r="AM42" i="17"/>
  <c r="AK42" i="17"/>
  <c r="AL42" i="17"/>
  <c r="AQ42" i="17"/>
  <c r="AL7" i="17"/>
  <c r="AK9" i="17"/>
  <c r="AQ9" i="17"/>
  <c r="AL37" i="17"/>
  <c r="AK37" i="17"/>
  <c r="AM37" i="17"/>
  <c r="AQ37" i="17"/>
  <c r="AK59" i="17"/>
  <c r="AQ59" i="17"/>
  <c r="AQ34" i="17"/>
  <c r="AK34" i="17"/>
  <c r="AK19" i="17"/>
  <c r="AQ19" i="17"/>
  <c r="AK29" i="17"/>
  <c r="AQ29" i="17"/>
  <c r="AK44" i="17"/>
  <c r="AQ44" i="17"/>
  <c r="AN47" i="17"/>
  <c r="AP47" i="17" s="1"/>
  <c r="AL57" i="17"/>
  <c r="AK64" i="17"/>
  <c r="AO14" i="17"/>
  <c r="AN39" i="17"/>
  <c r="AP39" i="17" s="1"/>
  <c r="AO54" i="17"/>
  <c r="AM17" i="17"/>
  <c r="AN24" i="17"/>
  <c r="AP24" i="17" s="1"/>
  <c r="AM57" i="17"/>
  <c r="AN64" i="17"/>
  <c r="AP64" i="17" s="1"/>
  <c r="AQ57" i="17"/>
  <c r="AN29" i="17"/>
  <c r="AP29" i="17" s="1"/>
  <c r="AK24" i="17"/>
  <c r="AQ17" i="17"/>
  <c r="AK17" i="17"/>
  <c r="AK62" i="10"/>
  <c r="AQ62" i="10"/>
  <c r="AM62" i="10"/>
  <c r="AL62" i="10"/>
  <c r="AN64" i="10"/>
  <c r="AP64" i="10" s="1"/>
  <c r="AK64" i="10"/>
  <c r="AK57" i="10"/>
  <c r="AM57" i="10"/>
  <c r="AL57" i="10"/>
  <c r="AQ57" i="10"/>
  <c r="AN59" i="10"/>
  <c r="AP59" i="10" s="1"/>
  <c r="AK52" i="10"/>
  <c r="AM52" i="10"/>
  <c r="AQ52" i="10"/>
  <c r="AL52" i="10"/>
  <c r="AQ54" i="10"/>
  <c r="AK54" i="10"/>
  <c r="AN54" i="10"/>
  <c r="AP54" i="10" s="1"/>
  <c r="AK47" i="10"/>
  <c r="AQ47" i="10"/>
  <c r="AL47" i="10"/>
  <c r="AM47" i="10"/>
  <c r="AN49" i="10"/>
  <c r="AP49" i="10" s="1"/>
  <c r="AK49" i="10"/>
  <c r="AK42" i="10"/>
  <c r="AQ42" i="10"/>
  <c r="AM42" i="10"/>
  <c r="AL42" i="10"/>
  <c r="AK44" i="10"/>
  <c r="AM37" i="10"/>
  <c r="AQ37" i="10"/>
  <c r="AL37" i="10"/>
  <c r="AK37" i="10"/>
  <c r="AQ39" i="10"/>
  <c r="AK39" i="10"/>
  <c r="AN39" i="10"/>
  <c r="AP39" i="10" s="1"/>
  <c r="AK32" i="10"/>
  <c r="AQ32" i="10"/>
  <c r="AM32" i="10"/>
  <c r="AL32" i="10"/>
  <c r="AN34" i="10"/>
  <c r="AP34" i="10" s="1"/>
  <c r="AK27" i="10"/>
  <c r="AQ27" i="10"/>
  <c r="AM27" i="10"/>
  <c r="AL27" i="10"/>
  <c r="AK29" i="10"/>
  <c r="AN29" i="10"/>
  <c r="AP29" i="10" s="1"/>
  <c r="AK22" i="10"/>
  <c r="AM22" i="10"/>
  <c r="AQ22" i="10"/>
  <c r="AL22" i="10"/>
  <c r="AN24" i="10"/>
  <c r="AP24" i="10" s="1"/>
  <c r="AK24" i="10"/>
  <c r="AK17" i="10"/>
  <c r="AQ17" i="10"/>
  <c r="AL17" i="10"/>
  <c r="AM17" i="10"/>
  <c r="AK19" i="10"/>
  <c r="AN19" i="10"/>
  <c r="AP19" i="10" s="1"/>
  <c r="AK12" i="10"/>
  <c r="AQ12" i="10"/>
  <c r="AM12" i="10"/>
  <c r="AL12" i="10"/>
  <c r="AN14" i="10"/>
  <c r="AP14" i="10" s="1"/>
  <c r="AK14" i="10"/>
  <c r="AQ7" i="10"/>
  <c r="AM7" i="10"/>
  <c r="AK7" i="10"/>
  <c r="AL7" i="10"/>
  <c r="AQ9" i="10"/>
  <c r="AN9" i="10"/>
  <c r="AP9" i="10" s="1"/>
  <c r="AO9" i="10"/>
  <c r="AK12" i="16"/>
  <c r="AL12" i="16"/>
  <c r="AQ12" i="16"/>
  <c r="AM12" i="16"/>
  <c r="AK9" i="16"/>
  <c r="AM9" i="16"/>
  <c r="AQ9" i="16"/>
  <c r="AM7" i="16"/>
  <c r="AK7" i="16"/>
  <c r="AQ7" i="16"/>
  <c r="AL7" i="16"/>
  <c r="AN7" i="17" l="1"/>
  <c r="AP7" i="17" s="1"/>
  <c r="AO19" i="16"/>
  <c r="AN19" i="16"/>
  <c r="AP19" i="16" s="1"/>
  <c r="AN17" i="16"/>
  <c r="AP17" i="16" s="1"/>
  <c r="AO17" i="16"/>
  <c r="AO17" i="17"/>
  <c r="AN17" i="17"/>
  <c r="AP17" i="17" s="1"/>
  <c r="AN22" i="17"/>
  <c r="AP22" i="17" s="1"/>
  <c r="AO22" i="17"/>
  <c r="AO37" i="17"/>
  <c r="AN37" i="17"/>
  <c r="AP37" i="17" s="1"/>
  <c r="AO32" i="17"/>
  <c r="AN32" i="17"/>
  <c r="AP32" i="17" s="1"/>
  <c r="AO42" i="17"/>
  <c r="AN42" i="17"/>
  <c r="AP42" i="17" s="1"/>
  <c r="AO57" i="17"/>
  <c r="AN57" i="17"/>
  <c r="AP57" i="17" s="1"/>
  <c r="AN27" i="17"/>
  <c r="AP27" i="17" s="1"/>
  <c r="AO27" i="17"/>
  <c r="AO52" i="17"/>
  <c r="AN52" i="17"/>
  <c r="AP52" i="17" s="1"/>
  <c r="AN12" i="17"/>
  <c r="AP12" i="17" s="1"/>
  <c r="AO12" i="17"/>
  <c r="AN62" i="17"/>
  <c r="AP62" i="17" s="1"/>
  <c r="AO62" i="17"/>
  <c r="AO62" i="10"/>
  <c r="AN62" i="10"/>
  <c r="AP62" i="10" s="1"/>
  <c r="AO57" i="10"/>
  <c r="AN57" i="10"/>
  <c r="AP57" i="10" s="1"/>
  <c r="AN52" i="10"/>
  <c r="AP52" i="10" s="1"/>
  <c r="AO52" i="10"/>
  <c r="AN47" i="10"/>
  <c r="AP47" i="10" s="1"/>
  <c r="AO47" i="10"/>
  <c r="AO42" i="10"/>
  <c r="AN42" i="10"/>
  <c r="AP42" i="10" s="1"/>
  <c r="AO37" i="10"/>
  <c r="AN37" i="10"/>
  <c r="AP37" i="10" s="1"/>
  <c r="AO32" i="10"/>
  <c r="AN32" i="10"/>
  <c r="AP32" i="10" s="1"/>
  <c r="AO27" i="10"/>
  <c r="AN27" i="10"/>
  <c r="AP27" i="10" s="1"/>
  <c r="AO22" i="10"/>
  <c r="AN22" i="10"/>
  <c r="AP22" i="10" s="1"/>
  <c r="AO17" i="10"/>
  <c r="AN17" i="10"/>
  <c r="AP17" i="10" s="1"/>
  <c r="AO12" i="10"/>
  <c r="AN12" i="10"/>
  <c r="AP12" i="10" s="1"/>
  <c r="AN7" i="10"/>
  <c r="AP7" i="10" s="1"/>
  <c r="AO7" i="10"/>
  <c r="AO12" i="16"/>
  <c r="AN12" i="16"/>
  <c r="AP12" i="16" s="1"/>
  <c r="AO9" i="16"/>
  <c r="AN9" i="16"/>
  <c r="AP9" i="16" s="1"/>
  <c r="AN7" i="16"/>
  <c r="AP7" i="16" s="1"/>
  <c r="AO7" i="16"/>
</calcChain>
</file>

<file path=xl/sharedStrings.xml><?xml version="1.0" encoding="utf-8"?>
<sst xmlns="http://schemas.openxmlformats.org/spreadsheetml/2006/main" count="1493" uniqueCount="69">
  <si>
    <t>assay</t>
  </si>
  <si>
    <t>Slide number</t>
  </si>
  <si>
    <t>well area/grid area</t>
  </si>
  <si>
    <t>average number of polonies/grid</t>
  </si>
  <si>
    <t>polonies/ slide</t>
  </si>
  <si>
    <t>dilution</t>
  </si>
  <si>
    <t>sample volume/ slide</t>
  </si>
  <si>
    <t xml:space="preserve"> polonies/ ml</t>
  </si>
  <si>
    <t xml:space="preserve">Field-1 </t>
  </si>
  <si>
    <t>Field-2</t>
  </si>
  <si>
    <t>Field-3</t>
  </si>
  <si>
    <t>Field-4</t>
  </si>
  <si>
    <t>Field-5</t>
  </si>
  <si>
    <t>Field-6</t>
  </si>
  <si>
    <t>Field-7</t>
  </si>
  <si>
    <t>Field-8</t>
  </si>
  <si>
    <t xml:space="preserve">Field-9 </t>
  </si>
  <si>
    <t>Field-10</t>
  </si>
  <si>
    <t>Field-11</t>
  </si>
  <si>
    <t>Field-12</t>
  </si>
  <si>
    <t>Field-13</t>
  </si>
  <si>
    <t>Field-14</t>
  </si>
  <si>
    <t>Field-15</t>
  </si>
  <si>
    <t>Field-16</t>
  </si>
  <si>
    <t>Field-17</t>
  </si>
  <si>
    <t>Field-18</t>
  </si>
  <si>
    <t>Field-19</t>
  </si>
  <si>
    <t>Field-20</t>
  </si>
  <si>
    <t>Field-21</t>
  </si>
  <si>
    <t>Field-22</t>
  </si>
  <si>
    <t>Field-23</t>
  </si>
  <si>
    <t>Green+Yellow</t>
  </si>
  <si>
    <t>Field-24</t>
  </si>
  <si>
    <t xml:space="preserve">Average </t>
  </si>
  <si>
    <t>Average - NTC</t>
  </si>
  <si>
    <t>Efficiency average</t>
  </si>
  <si>
    <t>Efficiency average-NTC</t>
  </si>
  <si>
    <t>pol/slide -NTC</t>
  </si>
  <si>
    <t>%v diff btw slides</t>
  </si>
  <si>
    <t>Cy5 red &amp; Cy3 green 
(yellow counts)</t>
  </si>
  <si>
    <t>total yellow polonies/ grid</t>
  </si>
  <si>
    <t>Phage &amp; dilution</t>
  </si>
  <si>
    <t>A</t>
  </si>
  <si>
    <t>B</t>
  </si>
  <si>
    <t>NTC</t>
  </si>
  <si>
    <t>summ / slide</t>
  </si>
  <si>
    <t>Acr-C1-84 /C1-288 10/15 uM</t>
  </si>
  <si>
    <t>SLIDES FROM 13-05-2026, HYBRIDIZATION 14-05-2026</t>
  </si>
  <si>
    <t>FS</t>
  </si>
  <si>
    <t>Clade B</t>
  </si>
  <si>
    <t>T7 AB assay</t>
  </si>
  <si>
    <t>SLIDES FROM 29-09-2026, HYBRIDIZATION 30-09-2026</t>
  </si>
  <si>
    <t>Clade B counts</t>
  </si>
  <si>
    <t>Clade A counts</t>
  </si>
  <si>
    <t>Clade A</t>
  </si>
  <si>
    <t>15-09-2026</t>
  </si>
  <si>
    <t>AI</t>
  </si>
  <si>
    <t>AS</t>
  </si>
  <si>
    <t>AM</t>
  </si>
  <si>
    <t>PI</t>
  </si>
  <si>
    <t>PS</t>
  </si>
  <si>
    <t>PM</t>
  </si>
  <si>
    <t>HI</t>
  </si>
  <si>
    <t>HS</t>
  </si>
  <si>
    <t>HM</t>
  </si>
  <si>
    <t>QI</t>
  </si>
  <si>
    <t>QS</t>
  </si>
  <si>
    <t>QM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</si>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</sst>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7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Display"/>
      <family val="1"/>
      <charset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sz val="12"/>
      <color rgb="FFFFFFFF"/>
      <name val="Aptos Narrow"/>
      <family val="2"/>
      <charset val="177"/>
      <scheme val="minor"/>
    </font>
    <font>
      <sz val="11"/>
      <color rgb="FF000000"/>
      <name val="Times New Roman"/>
      <family val="1"/>
    </font>
    <font>
      <b/>
      <sz val="11"/>
      <color rgb="FF000000"/>
      <name val="Aptos Narrow"/>
      <family val="2"/>
      <charset val="177"/>
      <scheme val="minor"/>
    </font>
    <font>
      <sz val="11"/>
      <color rgb="FFFFFFFF"/>
      <name val="Aptos Narrow"/>
      <family val="2"/>
      <charset val="177"/>
      <scheme val="minor"/>
    </font>
    <font>
      <b/>
      <sz val="11"/>
      <color rgb="FFD9D9D9"/>
      <name val="Times New Roman"/>
      <family val="1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0000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7" xfId="0" applyFont="1" applyBorder="1" applyAlignment="1">
      <alignment horizontal="center"/>
    </xf>
    <xf numFmtId="2" fontId="2" fillId="2" borderId="9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4" borderId="1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17" xfId="0" applyFont="1" applyBorder="1" applyAlignment="1">
      <alignment horizontal="center" vertical="center"/>
    </xf>
    <xf numFmtId="2" fontId="13" fillId="6" borderId="14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12" fillId="6" borderId="14" xfId="0" applyNumberFormat="1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2" fontId="14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2" fontId="13" fillId="6" borderId="15" xfId="0" applyNumberFormat="1" applyFont="1" applyFill="1" applyBorder="1" applyAlignment="1">
      <alignment horizontal="center"/>
    </xf>
    <xf numFmtId="2" fontId="13" fillId="6" borderId="18" xfId="0" applyNumberFormat="1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2" fontId="12" fillId="6" borderId="5" xfId="0" applyNumberFormat="1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9" fontId="6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0" fontId="1" fillId="5" borderId="2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49" fontId="1" fillId="5" borderId="20" xfId="0" applyNumberFormat="1" applyFont="1" applyFill="1" applyBorder="1" applyAlignment="1">
      <alignment horizontal="center" vertical="center" wrapText="1"/>
    </xf>
    <xf numFmtId="49" fontId="1" fillId="5" borderId="12" xfId="0" applyNumberFormat="1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49" fontId="1" fillId="5" borderId="20" xfId="0" quotePrefix="1" applyNumberFormat="1" applyFont="1" applyFill="1" applyBorder="1" applyAlignment="1">
      <alignment horizontal="center" vertical="center" wrapText="1"/>
    </xf>
    <xf numFmtId="49" fontId="1" fillId="5" borderId="12" xfId="0" quotePrefix="1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16" fontId="1" fillId="5" borderId="20" xfId="0" quotePrefix="1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A3AA-BBC4-A645-87E2-65EFE1259A4B}">
  <dimension ref="A1:AQ64"/>
  <sheetViews>
    <sheetView tabSelected="1" zoomScale="110" zoomScaleNormal="110" workbookViewId="0">
      <selection activeCell="AL22" sqref="AL22"/>
    </sheetView>
  </sheetViews>
  <sheetFormatPr baseColWidth="10" defaultRowHeight="16" x14ac:dyDescent="0.2"/>
  <cols>
    <col min="1" max="1" width="18.6640625" customWidth="1"/>
    <col min="2" max="2" width="13" customWidth="1"/>
    <col min="3" max="3" width="14.5" style="35" bestFit="1" customWidth="1"/>
    <col min="4" max="4" width="11.6640625" bestFit="1" customWidth="1"/>
    <col min="5" max="5" width="17.1640625" customWidth="1"/>
    <col min="6" max="6" width="14" customWidth="1"/>
    <col min="8" max="8" width="0" hidden="1" customWidth="1"/>
    <col min="9" max="32" width="10.83203125" hidden="1" customWidth="1"/>
  </cols>
  <sheetData>
    <row r="1" spans="1:43" ht="22" x14ac:dyDescent="0.3">
      <c r="A1" s="9" t="s">
        <v>50</v>
      </c>
      <c r="B1" s="9" t="s">
        <v>52</v>
      </c>
      <c r="C1" s="3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22" x14ac:dyDescent="0.3">
      <c r="A2" s="9"/>
      <c r="B2" s="10"/>
      <c r="C2" s="3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23" thickBot="1" x14ac:dyDescent="0.35">
      <c r="A3" s="9" t="s">
        <v>51</v>
      </c>
      <c r="B3" s="9"/>
      <c r="C3" s="34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51" x14ac:dyDescent="0.2">
      <c r="A4" s="11" t="s">
        <v>39</v>
      </c>
      <c r="B4" s="47" t="s">
        <v>0</v>
      </c>
      <c r="C4" s="49" t="s">
        <v>41</v>
      </c>
      <c r="D4" s="51" t="s">
        <v>1</v>
      </c>
      <c r="E4" s="53" t="s">
        <v>68</v>
      </c>
      <c r="F4" s="53" t="s">
        <v>45</v>
      </c>
      <c r="G4" s="55" t="s">
        <v>2</v>
      </c>
      <c r="H4" s="57" t="s">
        <v>40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9"/>
      <c r="AF4" s="12"/>
      <c r="AG4" s="63" t="s">
        <v>3</v>
      </c>
      <c r="AH4" s="65" t="s">
        <v>4</v>
      </c>
      <c r="AI4" s="67" t="s">
        <v>5</v>
      </c>
      <c r="AJ4" s="69" t="s">
        <v>6</v>
      </c>
      <c r="AK4" s="45" t="s">
        <v>7</v>
      </c>
      <c r="AL4" s="11" t="s">
        <v>38</v>
      </c>
      <c r="AM4" s="11" t="s">
        <v>33</v>
      </c>
      <c r="AN4" s="13" t="s">
        <v>34</v>
      </c>
      <c r="AO4" s="11" t="s">
        <v>35</v>
      </c>
      <c r="AP4" s="11" t="s">
        <v>36</v>
      </c>
      <c r="AQ4" s="13" t="s">
        <v>37</v>
      </c>
    </row>
    <row r="5" spans="1:43" ht="17" thickBot="1" x14ac:dyDescent="0.25">
      <c r="A5" s="13"/>
      <c r="B5" s="48"/>
      <c r="C5" s="50"/>
      <c r="D5" s="52"/>
      <c r="E5" s="54"/>
      <c r="F5" s="54"/>
      <c r="G5" s="56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2"/>
      <c r="AF5" s="14"/>
      <c r="AG5" s="64"/>
      <c r="AH5" s="66"/>
      <c r="AI5" s="68"/>
      <c r="AJ5" s="70"/>
      <c r="AK5" s="46"/>
      <c r="AL5" s="13"/>
      <c r="AM5" s="13"/>
      <c r="AN5" s="13"/>
      <c r="AO5" s="13"/>
      <c r="AP5" s="13"/>
      <c r="AQ5" s="13"/>
    </row>
    <row r="6" spans="1:43" ht="17" thickBot="1" x14ac:dyDescent="0.25">
      <c r="A6" s="13"/>
      <c r="B6" s="36"/>
      <c r="C6" s="42" t="s">
        <v>55</v>
      </c>
      <c r="D6" s="44" t="s">
        <v>42</v>
      </c>
      <c r="E6" s="44">
        <v>3</v>
      </c>
      <c r="F6" s="40">
        <f>SUM(H7:AE7)</f>
        <v>332</v>
      </c>
      <c r="G6" s="15"/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30</v>
      </c>
      <c r="AE6" s="1" t="s">
        <v>32</v>
      </c>
      <c r="AF6" s="17"/>
      <c r="AG6" s="18"/>
      <c r="AH6" s="30"/>
      <c r="AI6" s="31"/>
      <c r="AJ6" s="32"/>
      <c r="AK6" s="22"/>
      <c r="AL6" s="13"/>
      <c r="AM6" s="13"/>
      <c r="AN6" s="13"/>
      <c r="AO6" s="13"/>
      <c r="AP6" s="13"/>
      <c r="AQ6" s="13"/>
    </row>
    <row r="7" spans="1:43" ht="17" thickBot="1" x14ac:dyDescent="0.25">
      <c r="A7" s="13"/>
      <c r="B7" s="37"/>
      <c r="C7" s="43"/>
      <c r="D7" s="41"/>
      <c r="E7" s="41"/>
      <c r="F7" s="41"/>
      <c r="G7" s="23">
        <v>29</v>
      </c>
      <c r="H7">
        <v>13</v>
      </c>
      <c r="I7">
        <v>29</v>
      </c>
      <c r="J7">
        <v>15</v>
      </c>
      <c r="K7">
        <v>15</v>
      </c>
      <c r="L7">
        <v>16</v>
      </c>
      <c r="M7">
        <v>25</v>
      </c>
      <c r="N7">
        <v>23</v>
      </c>
      <c r="O7">
        <v>15</v>
      </c>
      <c r="P7">
        <v>12</v>
      </c>
      <c r="Q7">
        <v>15</v>
      </c>
      <c r="R7">
        <v>22</v>
      </c>
      <c r="S7">
        <v>16</v>
      </c>
      <c r="T7">
        <v>15</v>
      </c>
      <c r="U7">
        <v>22</v>
      </c>
      <c r="V7">
        <v>13</v>
      </c>
      <c r="W7">
        <v>19</v>
      </c>
      <c r="X7">
        <v>23</v>
      </c>
      <c r="Y7">
        <v>24</v>
      </c>
      <c r="AF7" s="8"/>
      <c r="AG7" s="2">
        <f>AVERAGE(H7:AE7)</f>
        <v>18.444444444444443</v>
      </c>
      <c r="AH7" s="3">
        <f>AG7*G7</f>
        <v>534.8888888888888</v>
      </c>
      <c r="AI7" s="4">
        <v>1</v>
      </c>
      <c r="AJ7" s="4">
        <f>5.4*11.6/25</f>
        <v>2.5055999999999998</v>
      </c>
      <c r="AK7" s="5">
        <f>(AH7)*1000/AJ7*AI7</f>
        <v>213477.36625514401</v>
      </c>
      <c r="AL7" s="7">
        <f>100*ABS(AH7-AH9)/AVERAGE(AH7,AH9)</f>
        <v>24.720496894409948</v>
      </c>
      <c r="AM7" s="6">
        <f>AVERAGE(AH7,AH9)</f>
        <v>610.32679738562092</v>
      </c>
      <c r="AN7" s="7" t="e">
        <f>AM7-#REF!</f>
        <v>#REF!</v>
      </c>
      <c r="AO7" s="7">
        <f>100*AM7/1500</f>
        <v>40.688453159041394</v>
      </c>
      <c r="AP7" s="7" t="e">
        <f>100*AN7/1000</f>
        <v>#REF!</v>
      </c>
      <c r="AQ7" s="6" t="e">
        <f>AH7-#REF!</f>
        <v>#REF!</v>
      </c>
    </row>
    <row r="8" spans="1:43" ht="17" thickBot="1" x14ac:dyDescent="0.25">
      <c r="A8" s="13"/>
      <c r="B8" s="75" t="s">
        <v>49</v>
      </c>
      <c r="C8" s="38" t="s">
        <v>56</v>
      </c>
      <c r="D8" s="40" t="s">
        <v>43</v>
      </c>
      <c r="E8" s="40"/>
      <c r="F8" s="40">
        <f>SUM(H9:AE9)</f>
        <v>402</v>
      </c>
      <c r="G8" s="24"/>
      <c r="H8" s="25" t="s">
        <v>8</v>
      </c>
      <c r="I8" s="25" t="s">
        <v>9</v>
      </c>
      <c r="J8" s="25" t="s">
        <v>10</v>
      </c>
      <c r="K8" s="25" t="s">
        <v>11</v>
      </c>
      <c r="L8" s="25" t="s">
        <v>12</v>
      </c>
      <c r="M8" s="25" t="s">
        <v>13</v>
      </c>
      <c r="N8" s="25" t="s">
        <v>14</v>
      </c>
      <c r="O8" s="25" t="s">
        <v>15</v>
      </c>
      <c r="P8" s="25" t="s">
        <v>16</v>
      </c>
      <c r="Q8" s="25" t="s">
        <v>17</v>
      </c>
      <c r="R8" s="25" t="s">
        <v>18</v>
      </c>
      <c r="S8" s="25" t="s">
        <v>19</v>
      </c>
      <c r="T8" s="25" t="s">
        <v>20</v>
      </c>
      <c r="U8" s="25" t="s">
        <v>21</v>
      </c>
      <c r="V8" s="25" t="s">
        <v>22</v>
      </c>
      <c r="W8" s="25" t="s">
        <v>23</v>
      </c>
      <c r="X8" s="25" t="s">
        <v>24</v>
      </c>
      <c r="Y8" s="25" t="s">
        <v>25</v>
      </c>
      <c r="Z8" s="25" t="s">
        <v>26</v>
      </c>
      <c r="AA8" s="25" t="s">
        <v>27</v>
      </c>
      <c r="AB8" s="25" t="s">
        <v>28</v>
      </c>
      <c r="AC8" s="25" t="s">
        <v>29</v>
      </c>
      <c r="AD8" s="25" t="s">
        <v>30</v>
      </c>
      <c r="AE8" s="26" t="s">
        <v>31</v>
      </c>
      <c r="AF8" s="27"/>
      <c r="AG8" s="28"/>
      <c r="AH8" s="19"/>
      <c r="AI8" s="20"/>
      <c r="AJ8" s="21"/>
      <c r="AK8" s="22"/>
      <c r="AL8" s="13"/>
      <c r="AM8" s="13"/>
      <c r="AN8" s="13"/>
      <c r="AO8" s="13"/>
      <c r="AP8" s="13"/>
      <c r="AQ8" s="29"/>
    </row>
    <row r="9" spans="1:43" ht="17" thickBot="1" x14ac:dyDescent="0.25">
      <c r="A9" s="13"/>
      <c r="B9" s="76"/>
      <c r="C9" s="39"/>
      <c r="D9" s="41"/>
      <c r="E9" s="41"/>
      <c r="F9" s="41"/>
      <c r="G9" s="23">
        <v>29</v>
      </c>
      <c r="H9">
        <v>31</v>
      </c>
      <c r="I9">
        <v>18</v>
      </c>
      <c r="J9">
        <v>29</v>
      </c>
      <c r="K9">
        <v>23</v>
      </c>
      <c r="L9">
        <v>18</v>
      </c>
      <c r="M9">
        <v>24</v>
      </c>
      <c r="N9">
        <v>19</v>
      </c>
      <c r="O9">
        <v>26</v>
      </c>
      <c r="P9">
        <v>19</v>
      </c>
      <c r="Q9">
        <v>23</v>
      </c>
      <c r="R9">
        <v>31</v>
      </c>
      <c r="S9">
        <v>15</v>
      </c>
      <c r="T9">
        <v>26</v>
      </c>
      <c r="U9">
        <v>26</v>
      </c>
      <c r="V9">
        <v>26</v>
      </c>
      <c r="W9">
        <v>31</v>
      </c>
      <c r="X9">
        <v>17</v>
      </c>
      <c r="AF9" s="10"/>
      <c r="AG9" s="2">
        <f>AVERAGE(H9:AE9)</f>
        <v>23.647058823529413</v>
      </c>
      <c r="AH9" s="3">
        <f>AG9*G9</f>
        <v>685.76470588235293</v>
      </c>
      <c r="AI9" s="4">
        <v>1</v>
      </c>
      <c r="AJ9" s="4">
        <f>5.4*11.6/25</f>
        <v>2.5055999999999998</v>
      </c>
      <c r="AK9" s="5">
        <f>(AH9)*1000/AJ9*AI9</f>
        <v>273692.81045751635</v>
      </c>
      <c r="AL9" s="7"/>
      <c r="AM9" s="6" t="e">
        <f>AVERAGE(AH9,#REF!)</f>
        <v>#REF!</v>
      </c>
      <c r="AN9" s="7" t="e">
        <f>AM9-#REF!</f>
        <v>#REF!</v>
      </c>
      <c r="AO9" s="7" t="e">
        <f>100*AM9/1500</f>
        <v>#REF!</v>
      </c>
      <c r="AP9" s="7" t="e">
        <f>100*AN9/1000</f>
        <v>#REF!</v>
      </c>
      <c r="AQ9" s="6" t="e">
        <f>AH9-#REF!</f>
        <v>#REF!</v>
      </c>
    </row>
    <row r="11" spans="1:43" ht="17" thickBot="1" x14ac:dyDescent="0.25">
      <c r="A11" s="13"/>
      <c r="B11" s="36"/>
      <c r="C11" s="42" t="s">
        <v>55</v>
      </c>
      <c r="D11" s="44" t="s">
        <v>42</v>
      </c>
      <c r="E11" s="44">
        <v>0</v>
      </c>
      <c r="F11" s="40">
        <f>SUM(H12:AE12)</f>
        <v>82</v>
      </c>
      <c r="G11" s="15"/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32</v>
      </c>
      <c r="AF11" s="17"/>
      <c r="AG11" s="18"/>
      <c r="AH11" s="30"/>
      <c r="AI11" s="31"/>
      <c r="AJ11" s="32"/>
      <c r="AK11" s="22"/>
      <c r="AL11" s="13"/>
      <c r="AM11" s="13"/>
      <c r="AN11" s="13"/>
      <c r="AO11" s="13"/>
      <c r="AP11" s="13"/>
      <c r="AQ11" s="13"/>
    </row>
    <row r="12" spans="1:43" ht="17" thickBot="1" x14ac:dyDescent="0.25">
      <c r="A12" s="13"/>
      <c r="B12" s="37"/>
      <c r="C12" s="43"/>
      <c r="D12" s="41"/>
      <c r="E12" s="41"/>
      <c r="F12" s="41"/>
      <c r="G12" s="23">
        <v>29</v>
      </c>
      <c r="H12">
        <v>2</v>
      </c>
      <c r="I12">
        <v>1</v>
      </c>
      <c r="J12">
        <v>3</v>
      </c>
      <c r="K12">
        <v>2</v>
      </c>
      <c r="L12">
        <v>9</v>
      </c>
      <c r="M12">
        <v>8</v>
      </c>
      <c r="N12">
        <v>1</v>
      </c>
      <c r="O12">
        <v>0</v>
      </c>
      <c r="P12">
        <v>3</v>
      </c>
      <c r="Q12">
        <v>3</v>
      </c>
      <c r="R12">
        <v>5</v>
      </c>
      <c r="S12">
        <v>5</v>
      </c>
      <c r="T12">
        <v>10</v>
      </c>
      <c r="U12">
        <v>3</v>
      </c>
      <c r="V12">
        <v>2</v>
      </c>
      <c r="W12">
        <v>9</v>
      </c>
      <c r="X12">
        <v>3</v>
      </c>
      <c r="Y12">
        <v>3</v>
      </c>
      <c r="Z12">
        <v>2</v>
      </c>
      <c r="AA12">
        <v>1</v>
      </c>
      <c r="AB12">
        <v>4</v>
      </c>
      <c r="AC12">
        <v>3</v>
      </c>
      <c r="AF12" s="8"/>
      <c r="AG12" s="2">
        <f>AVERAGE(H12:AE12)</f>
        <v>3.7272727272727271</v>
      </c>
      <c r="AH12" s="3">
        <f>AG12*G12</f>
        <v>108.09090909090908</v>
      </c>
      <c r="AI12" s="4">
        <v>1</v>
      </c>
      <c r="AJ12" s="4">
        <f>5.4*11.6/25</f>
        <v>2.5055999999999998</v>
      </c>
      <c r="AK12" s="5">
        <f>(AH12)*1000/AJ12*AI12</f>
        <v>43139.730639730638</v>
      </c>
      <c r="AL12" s="7">
        <f>100*ABS(AH12-AH14)/AVERAGE(AH12,AH14)</f>
        <v>11.158798283261786</v>
      </c>
      <c r="AM12" s="6">
        <f>AVERAGE(AH12,AH14)</f>
        <v>102.37878787878788</v>
      </c>
      <c r="AN12" s="7" t="e">
        <f>AM12-#REF!</f>
        <v>#REF!</v>
      </c>
      <c r="AO12" s="7">
        <f>100*AM12/1500</f>
        <v>6.8252525252525249</v>
      </c>
      <c r="AP12" s="7" t="e">
        <f>100*AN12/1000</f>
        <v>#REF!</v>
      </c>
      <c r="AQ12" s="6" t="e">
        <f>AH12-#REF!</f>
        <v>#REF!</v>
      </c>
    </row>
    <row r="13" spans="1:43" ht="17" thickBot="1" x14ac:dyDescent="0.25">
      <c r="A13" s="13"/>
      <c r="B13" s="36" t="s">
        <v>49</v>
      </c>
      <c r="C13" s="38" t="s">
        <v>57</v>
      </c>
      <c r="D13" s="40" t="s">
        <v>43</v>
      </c>
      <c r="E13" s="40"/>
      <c r="F13" s="40">
        <f>SUM(H14:AE14)</f>
        <v>60</v>
      </c>
      <c r="G13" s="24"/>
      <c r="H13" s="25" t="s">
        <v>8</v>
      </c>
      <c r="I13" s="25" t="s">
        <v>9</v>
      </c>
      <c r="J13" s="25" t="s">
        <v>10</v>
      </c>
      <c r="K13" s="25" t="s">
        <v>11</v>
      </c>
      <c r="L13" s="25" t="s">
        <v>12</v>
      </c>
      <c r="M13" s="25" t="s">
        <v>13</v>
      </c>
      <c r="N13" s="25" t="s">
        <v>14</v>
      </c>
      <c r="O13" s="25" t="s">
        <v>15</v>
      </c>
      <c r="P13" s="25" t="s">
        <v>16</v>
      </c>
      <c r="Q13" s="25" t="s">
        <v>17</v>
      </c>
      <c r="R13" s="25" t="s">
        <v>18</v>
      </c>
      <c r="S13" s="25" t="s">
        <v>19</v>
      </c>
      <c r="T13" s="25" t="s">
        <v>20</v>
      </c>
      <c r="U13" s="25" t="s">
        <v>21</v>
      </c>
      <c r="V13" s="25" t="s">
        <v>22</v>
      </c>
      <c r="W13" s="25" t="s">
        <v>23</v>
      </c>
      <c r="X13" s="25" t="s">
        <v>24</v>
      </c>
      <c r="Y13" s="25" t="s">
        <v>25</v>
      </c>
      <c r="Z13" s="25" t="s">
        <v>26</v>
      </c>
      <c r="AA13" s="25" t="s">
        <v>27</v>
      </c>
      <c r="AB13" s="25" t="s">
        <v>28</v>
      </c>
      <c r="AC13" s="25" t="s">
        <v>29</v>
      </c>
      <c r="AD13" s="25" t="s">
        <v>30</v>
      </c>
      <c r="AE13" s="26" t="s">
        <v>31</v>
      </c>
      <c r="AF13" s="27"/>
      <c r="AG13" s="28"/>
      <c r="AH13" s="19"/>
      <c r="AI13" s="20"/>
      <c r="AJ13" s="21"/>
      <c r="AK13" s="22"/>
      <c r="AL13" s="13"/>
      <c r="AM13" s="13"/>
      <c r="AN13" s="13"/>
      <c r="AO13" s="13"/>
      <c r="AP13" s="13"/>
      <c r="AQ13" s="29"/>
    </row>
    <row r="14" spans="1:43" ht="17" thickBot="1" x14ac:dyDescent="0.25">
      <c r="A14" s="13"/>
      <c r="B14" s="37"/>
      <c r="C14" s="39"/>
      <c r="D14" s="41"/>
      <c r="E14" s="41"/>
      <c r="F14" s="41"/>
      <c r="G14" s="23">
        <v>29</v>
      </c>
      <c r="H14">
        <v>5</v>
      </c>
      <c r="I14">
        <v>4</v>
      </c>
      <c r="J14">
        <v>4</v>
      </c>
      <c r="K14">
        <v>4</v>
      </c>
      <c r="L14">
        <v>4</v>
      </c>
      <c r="M14">
        <v>2</v>
      </c>
      <c r="N14">
        <v>5</v>
      </c>
      <c r="O14">
        <v>5</v>
      </c>
      <c r="P14">
        <v>1</v>
      </c>
      <c r="Q14">
        <v>3</v>
      </c>
      <c r="R14">
        <v>3</v>
      </c>
      <c r="S14">
        <v>2</v>
      </c>
      <c r="T14">
        <v>5</v>
      </c>
      <c r="U14">
        <v>3</v>
      </c>
      <c r="V14">
        <v>1</v>
      </c>
      <c r="W14">
        <v>2</v>
      </c>
      <c r="X14">
        <v>5</v>
      </c>
      <c r="Y14">
        <v>2</v>
      </c>
      <c r="AF14" s="10"/>
      <c r="AG14" s="2">
        <f>AVERAGE(H14:AE14)</f>
        <v>3.3333333333333335</v>
      </c>
      <c r="AH14" s="3">
        <f>AG14*G14</f>
        <v>96.666666666666671</v>
      </c>
      <c r="AI14" s="4">
        <v>1</v>
      </c>
      <c r="AJ14" s="4">
        <f>5.4*11.6/25</f>
        <v>2.5055999999999998</v>
      </c>
      <c r="AK14" s="5">
        <f>(AH14)*1000/AJ14*AI14</f>
        <v>38580.246913580253</v>
      </c>
      <c r="AL14" s="7"/>
      <c r="AM14" s="6" t="e">
        <f>AVERAGE(AH14,#REF!)</f>
        <v>#REF!</v>
      </c>
      <c r="AN14" s="7" t="e">
        <f>AM14-#REF!</f>
        <v>#REF!</v>
      </c>
      <c r="AO14" s="7" t="e">
        <f>100*AM14/1500</f>
        <v>#REF!</v>
      </c>
      <c r="AP14" s="7" t="e">
        <f>100*AN14/1000</f>
        <v>#REF!</v>
      </c>
      <c r="AQ14" s="6" t="e">
        <f>AH14-#REF!</f>
        <v>#REF!</v>
      </c>
    </row>
    <row r="16" spans="1:43" ht="17" thickBot="1" x14ac:dyDescent="0.25">
      <c r="A16" s="13"/>
      <c r="B16" s="36"/>
      <c r="C16" s="38" t="s">
        <v>55</v>
      </c>
      <c r="D16" s="44" t="s">
        <v>42</v>
      </c>
      <c r="E16" s="44">
        <v>0</v>
      </c>
      <c r="F16" s="40">
        <f>SUM(H17:AE17)</f>
        <v>100</v>
      </c>
      <c r="G16" s="15"/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N16" s="1" t="s">
        <v>14</v>
      </c>
      <c r="O16" s="1" t="s">
        <v>15</v>
      </c>
      <c r="P16" s="1" t="s">
        <v>16</v>
      </c>
      <c r="Q16" s="1" t="s">
        <v>17</v>
      </c>
      <c r="R16" s="1" t="s">
        <v>18</v>
      </c>
      <c r="S16" s="1" t="s">
        <v>19</v>
      </c>
      <c r="T16" s="1" t="s">
        <v>20</v>
      </c>
      <c r="U16" s="1" t="s">
        <v>21</v>
      </c>
      <c r="V16" s="1" t="s">
        <v>22</v>
      </c>
      <c r="W16" s="1" t="s">
        <v>23</v>
      </c>
      <c r="X16" s="1" t="s">
        <v>24</v>
      </c>
      <c r="Y16" s="1" t="s">
        <v>25</v>
      </c>
      <c r="Z16" s="1" t="s">
        <v>26</v>
      </c>
      <c r="AA16" s="1" t="s">
        <v>27</v>
      </c>
      <c r="AB16" s="1" t="s">
        <v>28</v>
      </c>
      <c r="AC16" s="1" t="s">
        <v>29</v>
      </c>
      <c r="AD16" s="1" t="s">
        <v>30</v>
      </c>
      <c r="AE16" s="1" t="s">
        <v>32</v>
      </c>
      <c r="AF16" s="17"/>
      <c r="AG16" s="18"/>
      <c r="AH16" s="30"/>
      <c r="AI16" s="31"/>
      <c r="AJ16" s="32"/>
      <c r="AK16" s="22"/>
      <c r="AL16" s="13"/>
      <c r="AM16" s="13"/>
      <c r="AN16" s="13"/>
      <c r="AO16" s="13"/>
      <c r="AP16" s="13"/>
      <c r="AQ16" s="13"/>
    </row>
    <row r="17" spans="1:43" ht="17" thickBot="1" x14ac:dyDescent="0.25">
      <c r="A17" s="13"/>
      <c r="B17" s="37"/>
      <c r="C17" s="39"/>
      <c r="D17" s="41"/>
      <c r="E17" s="41"/>
      <c r="F17" s="41"/>
      <c r="G17" s="23">
        <v>29</v>
      </c>
      <c r="H17">
        <v>6</v>
      </c>
      <c r="I17">
        <v>7</v>
      </c>
      <c r="J17">
        <v>6</v>
      </c>
      <c r="K17">
        <v>5</v>
      </c>
      <c r="L17">
        <v>2</v>
      </c>
      <c r="M17">
        <v>6</v>
      </c>
      <c r="N17">
        <v>3</v>
      </c>
      <c r="O17">
        <v>7</v>
      </c>
      <c r="P17">
        <v>6</v>
      </c>
      <c r="Q17">
        <v>5</v>
      </c>
      <c r="R17">
        <v>7</v>
      </c>
      <c r="S17">
        <v>4</v>
      </c>
      <c r="T17">
        <v>5</v>
      </c>
      <c r="U17">
        <v>8</v>
      </c>
      <c r="V17">
        <v>8</v>
      </c>
      <c r="W17">
        <v>9</v>
      </c>
      <c r="X17">
        <v>6</v>
      </c>
      <c r="AF17" s="8"/>
      <c r="AG17" s="2">
        <f>AVERAGE(H17:AE17)</f>
        <v>5.882352941176471</v>
      </c>
      <c r="AH17" s="3">
        <f>AG17*G17</f>
        <v>170.58823529411765</v>
      </c>
      <c r="AI17" s="4">
        <v>1</v>
      </c>
      <c r="AJ17" s="4">
        <f>5.4*11.6/25</f>
        <v>2.5055999999999998</v>
      </c>
      <c r="AK17" s="5">
        <f>(AH17)*1000/AJ17*AI17</f>
        <v>68082.788671023969</v>
      </c>
      <c r="AL17" s="7">
        <f>100*ABS(AH17-AH19)/AVERAGE(AH17,AH19)</f>
        <v>20.068116321718627</v>
      </c>
      <c r="AM17" s="6">
        <f>AVERAGE(AH17,AH19)</f>
        <v>155.03221288515408</v>
      </c>
      <c r="AN17" s="7" t="e">
        <f>AM17-#REF!</f>
        <v>#REF!</v>
      </c>
      <c r="AO17" s="7">
        <f>100*AM17/1500</f>
        <v>10.335480859010271</v>
      </c>
      <c r="AP17" s="7" t="e">
        <f>100*AN17/1000</f>
        <v>#REF!</v>
      </c>
      <c r="AQ17" s="6" t="e">
        <f>AH17-#REF!</f>
        <v>#REF!</v>
      </c>
    </row>
    <row r="18" spans="1:43" ht="17" thickBot="1" x14ac:dyDescent="0.25">
      <c r="A18" s="13"/>
      <c r="B18" s="36" t="s">
        <v>49</v>
      </c>
      <c r="C18" s="38" t="s">
        <v>58</v>
      </c>
      <c r="D18" s="40" t="s">
        <v>43</v>
      </c>
      <c r="E18" s="40"/>
      <c r="F18" s="40">
        <f>SUM(H19:AE19)</f>
        <v>101</v>
      </c>
      <c r="G18" s="24"/>
      <c r="H18" s="25" t="s">
        <v>8</v>
      </c>
      <c r="I18" s="25" t="s">
        <v>9</v>
      </c>
      <c r="J18" s="25" t="s">
        <v>10</v>
      </c>
      <c r="K18" s="25" t="s">
        <v>11</v>
      </c>
      <c r="L18" s="25" t="s">
        <v>12</v>
      </c>
      <c r="M18" s="25" t="s">
        <v>13</v>
      </c>
      <c r="N18" s="25" t="s">
        <v>14</v>
      </c>
      <c r="O18" s="25" t="s">
        <v>15</v>
      </c>
      <c r="P18" s="25" t="s">
        <v>16</v>
      </c>
      <c r="Q18" s="25" t="s">
        <v>17</v>
      </c>
      <c r="R18" s="25" t="s">
        <v>18</v>
      </c>
      <c r="S18" s="25" t="s">
        <v>19</v>
      </c>
      <c r="T18" s="25" t="s">
        <v>20</v>
      </c>
      <c r="U18" s="25" t="s">
        <v>21</v>
      </c>
      <c r="V18" s="25" t="s">
        <v>22</v>
      </c>
      <c r="W18" s="25" t="s">
        <v>23</v>
      </c>
      <c r="X18" s="25" t="s">
        <v>24</v>
      </c>
      <c r="Y18" s="25" t="s">
        <v>25</v>
      </c>
      <c r="Z18" s="25" t="s">
        <v>26</v>
      </c>
      <c r="AA18" s="25" t="s">
        <v>27</v>
      </c>
      <c r="AB18" s="25" t="s">
        <v>28</v>
      </c>
      <c r="AC18" s="25" t="s">
        <v>29</v>
      </c>
      <c r="AD18" s="25" t="s">
        <v>30</v>
      </c>
      <c r="AE18" s="26" t="s">
        <v>31</v>
      </c>
      <c r="AF18" s="27"/>
      <c r="AG18" s="28"/>
      <c r="AH18" s="19"/>
      <c r="AI18" s="20"/>
      <c r="AJ18" s="21"/>
      <c r="AK18" s="22"/>
      <c r="AL18" s="13"/>
      <c r="AM18" s="13"/>
      <c r="AN18" s="13"/>
      <c r="AO18" s="13"/>
      <c r="AP18" s="13"/>
      <c r="AQ18" s="29"/>
    </row>
    <row r="19" spans="1:43" ht="17" thickBot="1" x14ac:dyDescent="0.25">
      <c r="A19" s="13"/>
      <c r="B19" s="37"/>
      <c r="C19" s="39"/>
      <c r="D19" s="41"/>
      <c r="E19" s="41"/>
      <c r="F19" s="41"/>
      <c r="G19" s="23">
        <v>29</v>
      </c>
      <c r="H19">
        <v>6</v>
      </c>
      <c r="I19">
        <v>8</v>
      </c>
      <c r="J19">
        <v>6</v>
      </c>
      <c r="K19">
        <v>0</v>
      </c>
      <c r="L19">
        <v>6</v>
      </c>
      <c r="M19">
        <v>5</v>
      </c>
      <c r="N19">
        <v>2</v>
      </c>
      <c r="O19">
        <v>8</v>
      </c>
      <c r="P19">
        <v>3</v>
      </c>
      <c r="Q19">
        <v>5</v>
      </c>
      <c r="R19">
        <v>5</v>
      </c>
      <c r="S19">
        <v>1</v>
      </c>
      <c r="T19">
        <v>7</v>
      </c>
      <c r="U19">
        <v>2</v>
      </c>
      <c r="V19">
        <v>8</v>
      </c>
      <c r="W19">
        <v>7</v>
      </c>
      <c r="X19">
        <v>3</v>
      </c>
      <c r="Y19">
        <v>6</v>
      </c>
      <c r="Z19">
        <v>7</v>
      </c>
      <c r="AA19">
        <v>3</v>
      </c>
      <c r="AB19">
        <v>3</v>
      </c>
      <c r="AF19" s="10"/>
      <c r="AG19" s="2">
        <f>AVERAGE(H19:AE19)</f>
        <v>4.8095238095238093</v>
      </c>
      <c r="AH19" s="3">
        <f>AG19*G19</f>
        <v>139.47619047619048</v>
      </c>
      <c r="AI19" s="4">
        <v>1</v>
      </c>
      <c r="AJ19" s="4">
        <f>5.4*11.6/25</f>
        <v>2.5055999999999998</v>
      </c>
      <c r="AK19" s="5">
        <f>(AH19)*1000/AJ19*AI19</f>
        <v>55665.7848324515</v>
      </c>
      <c r="AL19" s="7"/>
      <c r="AM19" s="6" t="e">
        <f>AVERAGE(AH19,#REF!)</f>
        <v>#REF!</v>
      </c>
      <c r="AN19" s="7" t="e">
        <f>AM19-#REF!</f>
        <v>#REF!</v>
      </c>
      <c r="AO19" s="7" t="e">
        <f>100*AM19/1500</f>
        <v>#REF!</v>
      </c>
      <c r="AP19" s="7" t="e">
        <f>100*AN19/1000</f>
        <v>#REF!</v>
      </c>
      <c r="AQ19" s="6" t="e">
        <f>AH19-#REF!</f>
        <v>#REF!</v>
      </c>
    </row>
    <row r="21" spans="1:43" ht="17" thickBot="1" x14ac:dyDescent="0.25">
      <c r="A21" s="13"/>
      <c r="B21" s="36"/>
      <c r="C21" s="38" t="s">
        <v>55</v>
      </c>
      <c r="D21" s="44" t="s">
        <v>42</v>
      </c>
      <c r="E21" s="44"/>
      <c r="F21" s="40">
        <f>SUM(H22:AE22)</f>
        <v>277</v>
      </c>
      <c r="G21" s="15"/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  <c r="Q21" s="1" t="s">
        <v>17</v>
      </c>
      <c r="R21" s="1" t="s">
        <v>18</v>
      </c>
      <c r="S21" s="1" t="s">
        <v>19</v>
      </c>
      <c r="T21" s="1" t="s">
        <v>20</v>
      </c>
      <c r="U21" s="1" t="s">
        <v>21</v>
      </c>
      <c r="V21" s="1" t="s">
        <v>22</v>
      </c>
      <c r="W21" s="1" t="s">
        <v>23</v>
      </c>
      <c r="X21" s="1" t="s">
        <v>24</v>
      </c>
      <c r="Y21" s="1" t="s">
        <v>25</v>
      </c>
      <c r="Z21" s="1" t="s">
        <v>26</v>
      </c>
      <c r="AA21" s="1" t="s">
        <v>27</v>
      </c>
      <c r="AB21" s="1" t="s">
        <v>28</v>
      </c>
      <c r="AC21" s="1" t="s">
        <v>29</v>
      </c>
      <c r="AD21" s="1" t="s">
        <v>30</v>
      </c>
      <c r="AE21" s="1" t="s">
        <v>32</v>
      </c>
      <c r="AF21" s="17"/>
      <c r="AG21" s="18"/>
      <c r="AH21" s="30"/>
      <c r="AI21" s="31"/>
      <c r="AJ21" s="32"/>
      <c r="AK21" s="22"/>
      <c r="AL21" s="13"/>
      <c r="AM21" s="13"/>
      <c r="AN21" s="13"/>
      <c r="AO21" s="13"/>
      <c r="AP21" s="13"/>
      <c r="AQ21" s="13"/>
    </row>
    <row r="22" spans="1:43" ht="17" thickBot="1" x14ac:dyDescent="0.25">
      <c r="A22" s="13"/>
      <c r="B22" s="37"/>
      <c r="C22" s="39"/>
      <c r="D22" s="41"/>
      <c r="E22" s="41"/>
      <c r="F22" s="41"/>
      <c r="G22" s="23">
        <v>29</v>
      </c>
      <c r="H22">
        <v>21</v>
      </c>
      <c r="I22">
        <v>29</v>
      </c>
      <c r="J22">
        <v>24</v>
      </c>
      <c r="K22">
        <v>26</v>
      </c>
      <c r="L22">
        <v>19</v>
      </c>
      <c r="M22">
        <v>18</v>
      </c>
      <c r="N22">
        <v>31</v>
      </c>
      <c r="O22">
        <v>21</v>
      </c>
      <c r="P22">
        <v>19</v>
      </c>
      <c r="Q22">
        <v>32</v>
      </c>
      <c r="R22">
        <v>14</v>
      </c>
      <c r="S22">
        <v>23</v>
      </c>
      <c r="AF22" s="8"/>
      <c r="AG22" s="2">
        <f>AVERAGE(H22:AE22)</f>
        <v>23.083333333333332</v>
      </c>
      <c r="AH22" s="3">
        <f>AG22*G22</f>
        <v>669.41666666666663</v>
      </c>
      <c r="AI22" s="4">
        <v>1</v>
      </c>
      <c r="AJ22" s="4">
        <f>5.4*11.6/25</f>
        <v>2.5055999999999998</v>
      </c>
      <c r="AK22" s="5">
        <f>(AH22)*1000/AJ22*AI22</f>
        <v>267168.2098765432</v>
      </c>
      <c r="AL22" s="7">
        <f>100*ABS(AH22-AH24)/AVERAGE(AH22,AH24)</f>
        <v>29.780174201576102</v>
      </c>
      <c r="AM22" s="6">
        <f>AVERAGE(AH22,AH24)</f>
        <v>582.6583333333333</v>
      </c>
      <c r="AN22" s="7" t="e">
        <f>AM22-#REF!</f>
        <v>#REF!</v>
      </c>
      <c r="AO22" s="7">
        <f>100*AM22/1500</f>
        <v>38.843888888888884</v>
      </c>
      <c r="AP22" s="7" t="e">
        <f>100*AN22/1000</f>
        <v>#REF!</v>
      </c>
      <c r="AQ22" s="6" t="e">
        <f>AH22-#REF!</f>
        <v>#REF!</v>
      </c>
    </row>
    <row r="23" spans="1:43" ht="17" thickBot="1" x14ac:dyDescent="0.25">
      <c r="A23" s="13"/>
      <c r="B23" s="36" t="s">
        <v>49</v>
      </c>
      <c r="C23" s="38" t="s">
        <v>59</v>
      </c>
      <c r="D23" s="40" t="s">
        <v>43</v>
      </c>
      <c r="E23" s="40"/>
      <c r="F23" s="40">
        <f>SUM(H24:AE24)</f>
        <v>171</v>
      </c>
      <c r="G23" s="24"/>
      <c r="H23" s="25" t="s">
        <v>8</v>
      </c>
      <c r="I23" s="25" t="s">
        <v>9</v>
      </c>
      <c r="J23" s="25" t="s">
        <v>10</v>
      </c>
      <c r="K23" s="25" t="s">
        <v>11</v>
      </c>
      <c r="L23" s="25" t="s">
        <v>12</v>
      </c>
      <c r="M23" s="25" t="s">
        <v>13</v>
      </c>
      <c r="N23" s="25" t="s">
        <v>14</v>
      </c>
      <c r="O23" s="25" t="s">
        <v>15</v>
      </c>
      <c r="P23" s="25" t="s">
        <v>16</v>
      </c>
      <c r="Q23" s="25" t="s">
        <v>17</v>
      </c>
      <c r="R23" s="25" t="s">
        <v>18</v>
      </c>
      <c r="S23" s="25" t="s">
        <v>19</v>
      </c>
      <c r="T23" s="25" t="s">
        <v>20</v>
      </c>
      <c r="U23" s="25" t="s">
        <v>21</v>
      </c>
      <c r="V23" s="25" t="s">
        <v>22</v>
      </c>
      <c r="W23" s="25" t="s">
        <v>23</v>
      </c>
      <c r="X23" s="25" t="s">
        <v>24</v>
      </c>
      <c r="Y23" s="25" t="s">
        <v>25</v>
      </c>
      <c r="Z23" s="25" t="s">
        <v>26</v>
      </c>
      <c r="AA23" s="25" t="s">
        <v>27</v>
      </c>
      <c r="AB23" s="25" t="s">
        <v>28</v>
      </c>
      <c r="AC23" s="25" t="s">
        <v>29</v>
      </c>
      <c r="AD23" s="25" t="s">
        <v>30</v>
      </c>
      <c r="AE23" s="26" t="s">
        <v>31</v>
      </c>
      <c r="AF23" s="27"/>
      <c r="AG23" s="28"/>
      <c r="AH23" s="19"/>
      <c r="AI23" s="20"/>
      <c r="AJ23" s="21"/>
      <c r="AK23" s="22"/>
      <c r="AL23" s="13"/>
      <c r="AM23" s="13"/>
      <c r="AN23" s="13"/>
      <c r="AO23" s="13"/>
      <c r="AP23" s="13"/>
      <c r="AQ23" s="29"/>
    </row>
    <row r="24" spans="1:43" ht="17" thickBot="1" x14ac:dyDescent="0.25">
      <c r="A24" s="13"/>
      <c r="B24" s="37"/>
      <c r="C24" s="39"/>
      <c r="D24" s="41"/>
      <c r="E24" s="41"/>
      <c r="F24" s="41"/>
      <c r="G24" s="23">
        <v>29</v>
      </c>
      <c r="H24">
        <v>10</v>
      </c>
      <c r="I24">
        <v>19</v>
      </c>
      <c r="J24">
        <v>21</v>
      </c>
      <c r="K24">
        <v>21</v>
      </c>
      <c r="L24">
        <v>21</v>
      </c>
      <c r="M24">
        <v>16</v>
      </c>
      <c r="N24">
        <v>14</v>
      </c>
      <c r="O24">
        <v>24</v>
      </c>
      <c r="P24">
        <v>12</v>
      </c>
      <c r="Q24">
        <v>13</v>
      </c>
      <c r="AF24" s="10"/>
      <c r="AG24" s="2">
        <f>AVERAGE(H24:AE24)</f>
        <v>17.100000000000001</v>
      </c>
      <c r="AH24" s="3">
        <f>AG24*G24</f>
        <v>495.90000000000003</v>
      </c>
      <c r="AI24" s="4">
        <v>1</v>
      </c>
      <c r="AJ24" s="4">
        <f>5.4*11.6/25</f>
        <v>2.5055999999999998</v>
      </c>
      <c r="AK24" s="5">
        <f>(AH24)*1000/AJ24*AI24</f>
        <v>197916.66666666672</v>
      </c>
      <c r="AL24" s="7"/>
      <c r="AM24" s="6" t="e">
        <f>AVERAGE(AH24,#REF!)</f>
        <v>#REF!</v>
      </c>
      <c r="AN24" s="7" t="e">
        <f>AM24-#REF!</f>
        <v>#REF!</v>
      </c>
      <c r="AO24" s="7" t="e">
        <f>100*AM24/1500</f>
        <v>#REF!</v>
      </c>
      <c r="AP24" s="7" t="e">
        <f>100*AN24/1000</f>
        <v>#REF!</v>
      </c>
      <c r="AQ24" s="6" t="e">
        <f>AH24-#REF!</f>
        <v>#REF!</v>
      </c>
    </row>
    <row r="26" spans="1:43" ht="17" thickBot="1" x14ac:dyDescent="0.25">
      <c r="A26" s="13"/>
      <c r="B26" s="36"/>
      <c r="C26" s="38" t="s">
        <v>55</v>
      </c>
      <c r="D26" s="44" t="s">
        <v>42</v>
      </c>
      <c r="E26" s="44"/>
      <c r="F26" s="40">
        <f>SUM(H27:AE27)</f>
        <v>115</v>
      </c>
      <c r="G26" s="15"/>
      <c r="H26" s="1" t="s">
        <v>8</v>
      </c>
      <c r="I26" s="1" t="s">
        <v>9</v>
      </c>
      <c r="J26" s="1" t="s">
        <v>10</v>
      </c>
      <c r="K26" s="1" t="s">
        <v>11</v>
      </c>
      <c r="L26" s="1" t="s">
        <v>12</v>
      </c>
      <c r="M26" s="1" t="s">
        <v>13</v>
      </c>
      <c r="N26" s="1" t="s">
        <v>14</v>
      </c>
      <c r="O26" s="1" t="s">
        <v>15</v>
      </c>
      <c r="P26" s="1" t="s">
        <v>16</v>
      </c>
      <c r="Q26" s="1" t="s">
        <v>17</v>
      </c>
      <c r="R26" s="1" t="s">
        <v>18</v>
      </c>
      <c r="S26" s="1" t="s">
        <v>19</v>
      </c>
      <c r="T26" s="1" t="s">
        <v>20</v>
      </c>
      <c r="U26" s="1" t="s">
        <v>21</v>
      </c>
      <c r="V26" s="1" t="s">
        <v>22</v>
      </c>
      <c r="W26" s="1" t="s">
        <v>23</v>
      </c>
      <c r="X26" s="1" t="s">
        <v>24</v>
      </c>
      <c r="Y26" s="1" t="s">
        <v>25</v>
      </c>
      <c r="Z26" s="1" t="s">
        <v>26</v>
      </c>
      <c r="AA26" s="1" t="s">
        <v>27</v>
      </c>
      <c r="AB26" s="1" t="s">
        <v>28</v>
      </c>
      <c r="AC26" s="1" t="s">
        <v>29</v>
      </c>
      <c r="AD26" s="1" t="s">
        <v>30</v>
      </c>
      <c r="AE26" s="1" t="s">
        <v>32</v>
      </c>
      <c r="AF26" s="17"/>
      <c r="AG26" s="18"/>
      <c r="AH26" s="30"/>
      <c r="AI26" s="31"/>
      <c r="AJ26" s="32"/>
      <c r="AK26" s="22"/>
      <c r="AL26" s="13"/>
      <c r="AM26" s="13"/>
      <c r="AN26" s="13"/>
      <c r="AO26" s="13"/>
      <c r="AP26" s="13"/>
      <c r="AQ26" s="13"/>
    </row>
    <row r="27" spans="1:43" ht="17" thickBot="1" x14ac:dyDescent="0.25">
      <c r="A27" s="13"/>
      <c r="B27" s="37"/>
      <c r="C27" s="39"/>
      <c r="D27" s="41"/>
      <c r="E27" s="41"/>
      <c r="F27" s="41"/>
      <c r="G27" s="23">
        <v>29</v>
      </c>
      <c r="H27">
        <v>21</v>
      </c>
      <c r="I27">
        <v>19</v>
      </c>
      <c r="J27">
        <v>22</v>
      </c>
      <c r="K27">
        <v>17</v>
      </c>
      <c r="L27">
        <v>17</v>
      </c>
      <c r="M27">
        <v>19</v>
      </c>
      <c r="AF27" s="8"/>
      <c r="AG27" s="2">
        <f>AVERAGE(H27:AE27)</f>
        <v>19.166666666666668</v>
      </c>
      <c r="AH27" s="3">
        <f>AG27*G27</f>
        <v>555.83333333333337</v>
      </c>
      <c r="AI27" s="4">
        <v>1</v>
      </c>
      <c r="AJ27" s="4">
        <f>5.4*11.6/25</f>
        <v>2.5055999999999998</v>
      </c>
      <c r="AK27" s="5">
        <f>(AH27)*1000/AJ27*AI27</f>
        <v>221836.41975308646</v>
      </c>
      <c r="AL27" s="7">
        <f>100*ABS(AH27-AH29)/AVERAGE(AH27,AH29)</f>
        <v>6.2342038753158997</v>
      </c>
      <c r="AM27" s="6">
        <f>AVERAGE(AH27,AH29)</f>
        <v>573.7166666666667</v>
      </c>
      <c r="AN27" s="7" t="e">
        <f>AM27-#REF!</f>
        <v>#REF!</v>
      </c>
      <c r="AO27" s="7">
        <f>100*AM27/1500</f>
        <v>38.247777777777785</v>
      </c>
      <c r="AP27" s="7" t="e">
        <f>100*AN27/1000</f>
        <v>#REF!</v>
      </c>
      <c r="AQ27" s="6" t="e">
        <f>AH27-#REF!</f>
        <v>#REF!</v>
      </c>
    </row>
    <row r="28" spans="1:43" ht="17" thickBot="1" x14ac:dyDescent="0.25">
      <c r="A28" s="13"/>
      <c r="B28" s="36" t="s">
        <v>49</v>
      </c>
      <c r="C28" s="38" t="s">
        <v>60</v>
      </c>
      <c r="D28" s="40" t="s">
        <v>43</v>
      </c>
      <c r="E28" s="40"/>
      <c r="F28" s="40">
        <f>SUM(H29:AE29)</f>
        <v>204</v>
      </c>
      <c r="G28" s="24"/>
      <c r="H28" s="25" t="s">
        <v>8</v>
      </c>
      <c r="I28" s="25" t="s">
        <v>9</v>
      </c>
      <c r="J28" s="25" t="s">
        <v>10</v>
      </c>
      <c r="K28" s="25" t="s">
        <v>11</v>
      </c>
      <c r="L28" s="25" t="s">
        <v>12</v>
      </c>
      <c r="M28" s="25" t="s">
        <v>13</v>
      </c>
      <c r="N28" s="25" t="s">
        <v>14</v>
      </c>
      <c r="O28" s="25" t="s">
        <v>15</v>
      </c>
      <c r="P28" s="25" t="s">
        <v>16</v>
      </c>
      <c r="Q28" s="25" t="s">
        <v>17</v>
      </c>
      <c r="R28" s="25" t="s">
        <v>18</v>
      </c>
      <c r="S28" s="25" t="s">
        <v>19</v>
      </c>
      <c r="T28" s="25" t="s">
        <v>20</v>
      </c>
      <c r="U28" s="25" t="s">
        <v>21</v>
      </c>
      <c r="V28" s="25" t="s">
        <v>22</v>
      </c>
      <c r="W28" s="25" t="s">
        <v>23</v>
      </c>
      <c r="X28" s="25" t="s">
        <v>24</v>
      </c>
      <c r="Y28" s="25" t="s">
        <v>25</v>
      </c>
      <c r="Z28" s="25" t="s">
        <v>26</v>
      </c>
      <c r="AA28" s="25" t="s">
        <v>27</v>
      </c>
      <c r="AB28" s="25" t="s">
        <v>28</v>
      </c>
      <c r="AC28" s="25" t="s">
        <v>29</v>
      </c>
      <c r="AD28" s="25" t="s">
        <v>30</v>
      </c>
      <c r="AE28" s="26" t="s">
        <v>31</v>
      </c>
      <c r="AF28" s="27"/>
      <c r="AG28" s="28"/>
      <c r="AH28" s="19"/>
      <c r="AI28" s="20"/>
      <c r="AJ28" s="21"/>
      <c r="AK28" s="22"/>
      <c r="AL28" s="13"/>
      <c r="AM28" s="13"/>
      <c r="AN28" s="13"/>
      <c r="AO28" s="13"/>
      <c r="AP28" s="13"/>
      <c r="AQ28" s="29"/>
    </row>
    <row r="29" spans="1:43" ht="17" thickBot="1" x14ac:dyDescent="0.25">
      <c r="A29" s="13"/>
      <c r="B29" s="37"/>
      <c r="C29" s="39"/>
      <c r="D29" s="41"/>
      <c r="E29" s="41"/>
      <c r="F29" s="41"/>
      <c r="G29" s="23">
        <v>29</v>
      </c>
      <c r="H29">
        <v>19</v>
      </c>
      <c r="I29">
        <v>19</v>
      </c>
      <c r="J29">
        <v>17</v>
      </c>
      <c r="K29">
        <v>23</v>
      </c>
      <c r="L29">
        <v>23</v>
      </c>
      <c r="M29">
        <v>22</v>
      </c>
      <c r="N29">
        <v>25</v>
      </c>
      <c r="O29">
        <v>18</v>
      </c>
      <c r="P29">
        <v>20</v>
      </c>
      <c r="Q29">
        <v>18</v>
      </c>
      <c r="AF29" s="10"/>
      <c r="AG29" s="2">
        <f>AVERAGE(H29:AE29)</f>
        <v>20.399999999999999</v>
      </c>
      <c r="AH29" s="3">
        <f>AG29*G29</f>
        <v>591.59999999999991</v>
      </c>
      <c r="AI29" s="4">
        <v>1</v>
      </c>
      <c r="AJ29" s="4">
        <f>5.4*11.6/25</f>
        <v>2.5055999999999998</v>
      </c>
      <c r="AK29" s="5">
        <f>(AH29)*1000/AJ29*AI29</f>
        <v>236111.11111111109</v>
      </c>
      <c r="AL29" s="7"/>
      <c r="AM29" s="6" t="e">
        <f>AVERAGE(AH29,#REF!)</f>
        <v>#REF!</v>
      </c>
      <c r="AN29" s="7" t="e">
        <f>AM29-#REF!</f>
        <v>#REF!</v>
      </c>
      <c r="AO29" s="7" t="e">
        <f>100*AM29/1500</f>
        <v>#REF!</v>
      </c>
      <c r="AP29" s="7" t="e">
        <f>100*AN29/1000</f>
        <v>#REF!</v>
      </c>
      <c r="AQ29" s="6" t="e">
        <f>AH29-#REF!</f>
        <v>#REF!</v>
      </c>
    </row>
    <row r="31" spans="1:43" ht="17" thickBot="1" x14ac:dyDescent="0.25">
      <c r="A31" s="13"/>
      <c r="B31" s="36"/>
      <c r="C31" s="38" t="s">
        <v>55</v>
      </c>
      <c r="D31" s="44" t="s">
        <v>42</v>
      </c>
      <c r="E31" s="44"/>
      <c r="F31" s="40">
        <f>SUM(H32:AE32)</f>
        <v>171</v>
      </c>
      <c r="G31" s="15"/>
      <c r="H31" s="1" t="s">
        <v>8</v>
      </c>
      <c r="I31" s="1" t="s">
        <v>9</v>
      </c>
      <c r="J31" s="1" t="s">
        <v>10</v>
      </c>
      <c r="K31" s="1" t="s">
        <v>11</v>
      </c>
      <c r="L31" s="1" t="s">
        <v>12</v>
      </c>
      <c r="M31" s="1" t="s">
        <v>13</v>
      </c>
      <c r="N31" s="1" t="s">
        <v>14</v>
      </c>
      <c r="O31" s="1" t="s">
        <v>15</v>
      </c>
      <c r="P31" s="1" t="s">
        <v>16</v>
      </c>
      <c r="Q31" s="1" t="s">
        <v>17</v>
      </c>
      <c r="R31" s="1" t="s">
        <v>18</v>
      </c>
      <c r="S31" s="1" t="s">
        <v>19</v>
      </c>
      <c r="T31" s="1" t="s">
        <v>20</v>
      </c>
      <c r="U31" s="1" t="s">
        <v>21</v>
      </c>
      <c r="V31" s="1" t="s">
        <v>22</v>
      </c>
      <c r="W31" s="1" t="s">
        <v>23</v>
      </c>
      <c r="X31" s="1" t="s">
        <v>24</v>
      </c>
      <c r="Y31" s="1" t="s">
        <v>25</v>
      </c>
      <c r="Z31" s="1" t="s">
        <v>26</v>
      </c>
      <c r="AA31" s="1" t="s">
        <v>27</v>
      </c>
      <c r="AB31" s="1" t="s">
        <v>28</v>
      </c>
      <c r="AC31" s="1" t="s">
        <v>29</v>
      </c>
      <c r="AD31" s="1" t="s">
        <v>30</v>
      </c>
      <c r="AE31" s="1" t="s">
        <v>32</v>
      </c>
      <c r="AF31" s="17"/>
      <c r="AG31" s="18"/>
      <c r="AH31" s="30"/>
      <c r="AI31" s="31"/>
      <c r="AJ31" s="32"/>
      <c r="AK31" s="22"/>
      <c r="AL31" s="13"/>
      <c r="AM31" s="13"/>
      <c r="AN31" s="13"/>
      <c r="AO31" s="13"/>
      <c r="AP31" s="13"/>
      <c r="AQ31" s="13"/>
    </row>
    <row r="32" spans="1:43" ht="17" thickBot="1" x14ac:dyDescent="0.25">
      <c r="A32" s="13"/>
      <c r="B32" s="37"/>
      <c r="C32" s="39"/>
      <c r="D32" s="41"/>
      <c r="E32" s="41"/>
      <c r="F32" s="41"/>
      <c r="G32" s="23">
        <v>29</v>
      </c>
      <c r="H32">
        <v>14</v>
      </c>
      <c r="I32">
        <v>18</v>
      </c>
      <c r="J32">
        <v>24</v>
      </c>
      <c r="K32">
        <v>17</v>
      </c>
      <c r="L32">
        <v>23</v>
      </c>
      <c r="M32">
        <v>18</v>
      </c>
      <c r="N32">
        <v>24</v>
      </c>
      <c r="O32">
        <v>16</v>
      </c>
      <c r="P32">
        <v>17</v>
      </c>
      <c r="AF32" s="8"/>
      <c r="AG32" s="2">
        <f>AVERAGE(H32:AE32)</f>
        <v>19</v>
      </c>
      <c r="AH32" s="3">
        <f>AG32*G32</f>
        <v>551</v>
      </c>
      <c r="AI32" s="4">
        <v>1</v>
      </c>
      <c r="AJ32" s="4">
        <f>5.4*11.6/25</f>
        <v>2.5055999999999998</v>
      </c>
      <c r="AK32" s="5">
        <f>(AH32)*1000/AJ32*AI32</f>
        <v>219907.40740740742</v>
      </c>
      <c r="AL32" s="7">
        <f>100*ABS(AH32-AH34)/AVERAGE(AH32,AH34)</f>
        <v>7.2727272727272645</v>
      </c>
      <c r="AM32" s="6">
        <f>AVERAGE(AH32,AH34)</f>
        <v>531.66666666666674</v>
      </c>
      <c r="AN32" s="7" t="e">
        <f>AM32-#REF!</f>
        <v>#REF!</v>
      </c>
      <c r="AO32" s="7">
        <f>100*AM32/1500</f>
        <v>35.44444444444445</v>
      </c>
      <c r="AP32" s="7" t="e">
        <f>100*AN32/1000</f>
        <v>#REF!</v>
      </c>
      <c r="AQ32" s="6" t="e">
        <f>AH32-#REF!</f>
        <v>#REF!</v>
      </c>
    </row>
    <row r="33" spans="1:43" ht="17" thickBot="1" x14ac:dyDescent="0.25">
      <c r="A33" s="13"/>
      <c r="B33" s="36" t="s">
        <v>49</v>
      </c>
      <c r="C33" s="38" t="s">
        <v>61</v>
      </c>
      <c r="D33" s="40" t="s">
        <v>43</v>
      </c>
      <c r="E33" s="40"/>
      <c r="F33" s="40">
        <f>SUM(H34:AE34)</f>
        <v>159</v>
      </c>
      <c r="G33" s="24"/>
      <c r="H33" s="25" t="s">
        <v>8</v>
      </c>
      <c r="I33" s="25" t="s">
        <v>9</v>
      </c>
      <c r="J33" s="25" t="s">
        <v>10</v>
      </c>
      <c r="K33" s="25" t="s">
        <v>11</v>
      </c>
      <c r="L33" s="25" t="s">
        <v>12</v>
      </c>
      <c r="M33" s="25" t="s">
        <v>13</v>
      </c>
      <c r="N33" s="25" t="s">
        <v>14</v>
      </c>
      <c r="O33" s="25" t="s">
        <v>15</v>
      </c>
      <c r="P33" s="25" t="s">
        <v>16</v>
      </c>
      <c r="Q33" s="25" t="s">
        <v>17</v>
      </c>
      <c r="R33" s="25" t="s">
        <v>18</v>
      </c>
      <c r="S33" s="25" t="s">
        <v>19</v>
      </c>
      <c r="T33" s="25" t="s">
        <v>20</v>
      </c>
      <c r="U33" s="25" t="s">
        <v>21</v>
      </c>
      <c r="V33" s="25" t="s">
        <v>22</v>
      </c>
      <c r="W33" s="25" t="s">
        <v>23</v>
      </c>
      <c r="X33" s="25" t="s">
        <v>24</v>
      </c>
      <c r="Y33" s="25" t="s">
        <v>25</v>
      </c>
      <c r="Z33" s="25" t="s">
        <v>26</v>
      </c>
      <c r="AA33" s="25" t="s">
        <v>27</v>
      </c>
      <c r="AB33" s="25" t="s">
        <v>28</v>
      </c>
      <c r="AC33" s="25" t="s">
        <v>29</v>
      </c>
      <c r="AD33" s="25" t="s">
        <v>30</v>
      </c>
      <c r="AE33" s="26" t="s">
        <v>31</v>
      </c>
      <c r="AF33" s="27"/>
      <c r="AG33" s="28"/>
      <c r="AH33" s="19"/>
      <c r="AI33" s="20"/>
      <c r="AJ33" s="21"/>
      <c r="AK33" s="22"/>
      <c r="AL33" s="13"/>
      <c r="AM33" s="13"/>
      <c r="AN33" s="13"/>
      <c r="AO33" s="13"/>
      <c r="AP33" s="13"/>
      <c r="AQ33" s="29"/>
    </row>
    <row r="34" spans="1:43" ht="17" thickBot="1" x14ac:dyDescent="0.25">
      <c r="A34" s="13"/>
      <c r="B34" s="37"/>
      <c r="C34" s="39"/>
      <c r="D34" s="41"/>
      <c r="E34" s="41"/>
      <c r="F34" s="41"/>
      <c r="G34" s="23">
        <v>29</v>
      </c>
      <c r="H34">
        <v>18</v>
      </c>
      <c r="I34">
        <v>29</v>
      </c>
      <c r="J34">
        <v>20</v>
      </c>
      <c r="K34">
        <v>20</v>
      </c>
      <c r="L34">
        <v>15</v>
      </c>
      <c r="M34">
        <v>13</v>
      </c>
      <c r="N34">
        <v>14</v>
      </c>
      <c r="O34">
        <v>14</v>
      </c>
      <c r="P34">
        <v>16</v>
      </c>
      <c r="AF34" s="10"/>
      <c r="AG34" s="2">
        <f>AVERAGE(H34:AE34)</f>
        <v>17.666666666666668</v>
      </c>
      <c r="AH34" s="3">
        <f>AG34*G34</f>
        <v>512.33333333333337</v>
      </c>
      <c r="AI34" s="4">
        <v>1</v>
      </c>
      <c r="AJ34" s="4">
        <f>5.4*11.6/25</f>
        <v>2.5055999999999998</v>
      </c>
      <c r="AK34" s="5">
        <f>(AH34)*1000/AJ34*AI34</f>
        <v>204475.30864197534</v>
      </c>
      <c r="AL34" s="7"/>
      <c r="AM34" s="6" t="e">
        <f>AVERAGE(AH34,#REF!)</f>
        <v>#REF!</v>
      </c>
      <c r="AN34" s="7" t="e">
        <f>AM34-#REF!</f>
        <v>#REF!</v>
      </c>
      <c r="AO34" s="7" t="e">
        <f>100*AM34/1500</f>
        <v>#REF!</v>
      </c>
      <c r="AP34" s="7" t="e">
        <f>100*AN34/1000</f>
        <v>#REF!</v>
      </c>
      <c r="AQ34" s="6" t="e">
        <f>AH34-#REF!</f>
        <v>#REF!</v>
      </c>
    </row>
    <row r="36" spans="1:43" ht="17" thickBot="1" x14ac:dyDescent="0.25">
      <c r="A36" s="13"/>
      <c r="B36" s="36"/>
      <c r="C36" s="38" t="s">
        <v>55</v>
      </c>
      <c r="D36" s="44" t="s">
        <v>42</v>
      </c>
      <c r="E36" s="44">
        <v>1</v>
      </c>
      <c r="F36" s="40">
        <f>SUM(H37:AE37)</f>
        <v>388</v>
      </c>
      <c r="G36" s="15"/>
      <c r="H36" s="1" t="s">
        <v>8</v>
      </c>
      <c r="I36" s="1" t="s">
        <v>9</v>
      </c>
      <c r="J36" s="1" t="s">
        <v>10</v>
      </c>
      <c r="K36" s="1" t="s">
        <v>11</v>
      </c>
      <c r="L36" s="1" t="s">
        <v>12</v>
      </c>
      <c r="M36" s="1" t="s">
        <v>13</v>
      </c>
      <c r="N36" s="1" t="s">
        <v>14</v>
      </c>
      <c r="O36" s="1" t="s">
        <v>15</v>
      </c>
      <c r="P36" s="1" t="s">
        <v>16</v>
      </c>
      <c r="Q36" s="1" t="s">
        <v>17</v>
      </c>
      <c r="R36" s="1" t="s">
        <v>18</v>
      </c>
      <c r="S36" s="1" t="s">
        <v>19</v>
      </c>
      <c r="T36" s="1" t="s">
        <v>20</v>
      </c>
      <c r="U36" s="1" t="s">
        <v>21</v>
      </c>
      <c r="V36" s="1" t="s">
        <v>22</v>
      </c>
      <c r="W36" s="1" t="s">
        <v>23</v>
      </c>
      <c r="X36" s="1" t="s">
        <v>24</v>
      </c>
      <c r="Y36" s="1" t="s">
        <v>25</v>
      </c>
      <c r="Z36" s="1" t="s">
        <v>26</v>
      </c>
      <c r="AA36" s="1" t="s">
        <v>27</v>
      </c>
      <c r="AB36" s="1" t="s">
        <v>28</v>
      </c>
      <c r="AC36" s="1" t="s">
        <v>29</v>
      </c>
      <c r="AD36" s="1" t="s">
        <v>30</v>
      </c>
      <c r="AE36" s="1" t="s">
        <v>32</v>
      </c>
      <c r="AF36" s="17"/>
      <c r="AG36" s="18"/>
      <c r="AH36" s="30"/>
      <c r="AI36" s="31"/>
      <c r="AJ36" s="32"/>
      <c r="AK36" s="22"/>
      <c r="AL36" s="13"/>
      <c r="AM36" s="13"/>
      <c r="AN36" s="13"/>
      <c r="AO36" s="13"/>
      <c r="AP36" s="13"/>
      <c r="AQ36" s="13"/>
    </row>
    <row r="37" spans="1:43" ht="17" thickBot="1" x14ac:dyDescent="0.25">
      <c r="A37" s="13"/>
      <c r="B37" s="37"/>
      <c r="C37" s="39"/>
      <c r="D37" s="41"/>
      <c r="E37" s="41"/>
      <c r="F37" s="41"/>
      <c r="G37" s="23">
        <v>29</v>
      </c>
      <c r="H37">
        <v>29</v>
      </c>
      <c r="I37">
        <v>34</v>
      </c>
      <c r="J37">
        <v>19</v>
      </c>
      <c r="K37">
        <v>27</v>
      </c>
      <c r="L37">
        <v>26</v>
      </c>
      <c r="M37">
        <v>24</v>
      </c>
      <c r="N37">
        <v>28</v>
      </c>
      <c r="O37">
        <v>35</v>
      </c>
      <c r="P37">
        <v>29</v>
      </c>
      <c r="Q37">
        <v>19</v>
      </c>
      <c r="R37">
        <v>34</v>
      </c>
      <c r="S37">
        <v>26</v>
      </c>
      <c r="T37">
        <v>37</v>
      </c>
      <c r="U37">
        <v>21</v>
      </c>
      <c r="AF37" s="8"/>
      <c r="AG37" s="2">
        <f>AVERAGE(H37:AE37)</f>
        <v>27.714285714285715</v>
      </c>
      <c r="AH37" s="3">
        <f>AG37*G37</f>
        <v>803.71428571428578</v>
      </c>
      <c r="AI37" s="4">
        <v>1</v>
      </c>
      <c r="AJ37" s="4">
        <f>5.4*11.6/25</f>
        <v>2.5055999999999998</v>
      </c>
      <c r="AK37" s="5">
        <f>(AH37)*1000/AJ37*AI37</f>
        <v>320767.19576719584</v>
      </c>
      <c r="AL37" s="7">
        <f>100*ABS(AH37-AH39)/AVERAGE(AH37,AH39)</f>
        <v>19.892320770756605</v>
      </c>
      <c r="AM37" s="6">
        <f>AVERAGE(AH37,AH39)</f>
        <v>731.00714285714287</v>
      </c>
      <c r="AN37" s="7" t="e">
        <f>AM37-#REF!</f>
        <v>#REF!</v>
      </c>
      <c r="AO37" s="7">
        <f>100*AM37/1500</f>
        <v>48.733809523809526</v>
      </c>
      <c r="AP37" s="7" t="e">
        <f>100*AN37/1000</f>
        <v>#REF!</v>
      </c>
      <c r="AQ37" s="6" t="e">
        <f>AH37-#REF!</f>
        <v>#REF!</v>
      </c>
    </row>
    <row r="38" spans="1:43" ht="17" thickBot="1" x14ac:dyDescent="0.25">
      <c r="A38" s="13"/>
      <c r="B38" s="36" t="s">
        <v>49</v>
      </c>
      <c r="C38" s="38" t="s">
        <v>62</v>
      </c>
      <c r="D38" s="40" t="s">
        <v>43</v>
      </c>
      <c r="E38" s="40"/>
      <c r="F38" s="40">
        <f>SUM(H39:AE39)</f>
        <v>227</v>
      </c>
      <c r="G38" s="24"/>
      <c r="H38" s="25" t="s">
        <v>8</v>
      </c>
      <c r="I38" s="25" t="s">
        <v>9</v>
      </c>
      <c r="J38" s="25" t="s">
        <v>10</v>
      </c>
      <c r="K38" s="25" t="s">
        <v>11</v>
      </c>
      <c r="L38" s="25" t="s">
        <v>12</v>
      </c>
      <c r="M38" s="25" t="s">
        <v>13</v>
      </c>
      <c r="N38" s="25" t="s">
        <v>14</v>
      </c>
      <c r="O38" s="25" t="s">
        <v>15</v>
      </c>
      <c r="P38" s="25" t="s">
        <v>16</v>
      </c>
      <c r="Q38" s="25" t="s">
        <v>17</v>
      </c>
      <c r="R38" s="25" t="s">
        <v>18</v>
      </c>
      <c r="S38" s="25" t="s">
        <v>19</v>
      </c>
      <c r="T38" s="25" t="s">
        <v>20</v>
      </c>
      <c r="U38" s="25" t="s">
        <v>21</v>
      </c>
      <c r="V38" s="25" t="s">
        <v>22</v>
      </c>
      <c r="W38" s="25" t="s">
        <v>23</v>
      </c>
      <c r="X38" s="25" t="s">
        <v>24</v>
      </c>
      <c r="Y38" s="25" t="s">
        <v>25</v>
      </c>
      <c r="Z38" s="25" t="s">
        <v>26</v>
      </c>
      <c r="AA38" s="25" t="s">
        <v>27</v>
      </c>
      <c r="AB38" s="25" t="s">
        <v>28</v>
      </c>
      <c r="AC38" s="25" t="s">
        <v>29</v>
      </c>
      <c r="AD38" s="25" t="s">
        <v>30</v>
      </c>
      <c r="AE38" s="26" t="s">
        <v>31</v>
      </c>
      <c r="AF38" s="27"/>
      <c r="AG38" s="28"/>
      <c r="AH38" s="19"/>
      <c r="AI38" s="20"/>
      <c r="AJ38" s="21"/>
      <c r="AK38" s="22"/>
      <c r="AL38" s="13"/>
      <c r="AM38" s="13"/>
      <c r="AN38" s="13"/>
      <c r="AO38" s="13"/>
      <c r="AP38" s="13"/>
      <c r="AQ38" s="29"/>
    </row>
    <row r="39" spans="1:43" ht="17" thickBot="1" x14ac:dyDescent="0.25">
      <c r="A39" s="13"/>
      <c r="B39" s="37"/>
      <c r="C39" s="39"/>
      <c r="D39" s="41"/>
      <c r="E39" s="41"/>
      <c r="F39" s="41"/>
      <c r="G39" s="23">
        <v>29</v>
      </c>
      <c r="H39">
        <v>20</v>
      </c>
      <c r="I39">
        <v>26</v>
      </c>
      <c r="J39">
        <v>25</v>
      </c>
      <c r="K39">
        <v>21</v>
      </c>
      <c r="L39">
        <v>21</v>
      </c>
      <c r="M39">
        <v>23</v>
      </c>
      <c r="N39">
        <v>27</v>
      </c>
      <c r="O39">
        <v>23</v>
      </c>
      <c r="P39">
        <v>16</v>
      </c>
      <c r="Q39">
        <v>25</v>
      </c>
      <c r="AF39" s="10"/>
      <c r="AG39" s="2">
        <f>AVERAGE(H39:AE39)</f>
        <v>22.7</v>
      </c>
      <c r="AH39" s="3">
        <f>AG39*G39</f>
        <v>658.3</v>
      </c>
      <c r="AI39" s="4">
        <v>1</v>
      </c>
      <c r="AJ39" s="4">
        <f>5.4*11.6/25</f>
        <v>2.5055999999999998</v>
      </c>
      <c r="AK39" s="5">
        <f>(AH39)*1000/AJ39*AI39</f>
        <v>262731.48148148152</v>
      </c>
      <c r="AL39" s="7"/>
      <c r="AM39" s="6" t="e">
        <f>AVERAGE(AH39,#REF!)</f>
        <v>#REF!</v>
      </c>
      <c r="AN39" s="7" t="e">
        <f>AM39-#REF!</f>
        <v>#REF!</v>
      </c>
      <c r="AO39" s="7" t="e">
        <f>100*AM39/1500</f>
        <v>#REF!</v>
      </c>
      <c r="AP39" s="7" t="e">
        <f>100*AN39/1000</f>
        <v>#REF!</v>
      </c>
      <c r="AQ39" s="6" t="e">
        <f>AH39-#REF!</f>
        <v>#REF!</v>
      </c>
    </row>
    <row r="41" spans="1:43" ht="17" thickBot="1" x14ac:dyDescent="0.25">
      <c r="A41" s="13"/>
      <c r="B41" s="36"/>
      <c r="C41" s="38" t="s">
        <v>55</v>
      </c>
      <c r="D41" s="44" t="s">
        <v>42</v>
      </c>
      <c r="E41" s="44"/>
      <c r="F41" s="40">
        <f>SUM(H42:AE42)</f>
        <v>253</v>
      </c>
      <c r="G41" s="15"/>
      <c r="H41" s="1" t="s">
        <v>8</v>
      </c>
      <c r="I41" s="1" t="s">
        <v>9</v>
      </c>
      <c r="J41" s="1" t="s">
        <v>10</v>
      </c>
      <c r="K41" s="1" t="s">
        <v>11</v>
      </c>
      <c r="L41" s="1" t="s">
        <v>12</v>
      </c>
      <c r="M41" s="1" t="s">
        <v>13</v>
      </c>
      <c r="N41" s="1" t="s">
        <v>14</v>
      </c>
      <c r="O41" s="1" t="s">
        <v>15</v>
      </c>
      <c r="P41" s="1" t="s">
        <v>16</v>
      </c>
      <c r="Q41" s="1" t="s">
        <v>17</v>
      </c>
      <c r="R41" s="1" t="s">
        <v>18</v>
      </c>
      <c r="S41" s="1" t="s">
        <v>19</v>
      </c>
      <c r="T41" s="1" t="s">
        <v>20</v>
      </c>
      <c r="U41" s="1" t="s">
        <v>21</v>
      </c>
      <c r="V41" s="1" t="s">
        <v>22</v>
      </c>
      <c r="W41" s="1" t="s">
        <v>23</v>
      </c>
      <c r="X41" s="1" t="s">
        <v>24</v>
      </c>
      <c r="Y41" s="1" t="s">
        <v>25</v>
      </c>
      <c r="Z41" s="1" t="s">
        <v>26</v>
      </c>
      <c r="AA41" s="1" t="s">
        <v>27</v>
      </c>
      <c r="AB41" s="1" t="s">
        <v>28</v>
      </c>
      <c r="AC41" s="1" t="s">
        <v>29</v>
      </c>
      <c r="AD41" s="1" t="s">
        <v>30</v>
      </c>
      <c r="AE41" s="1" t="s">
        <v>32</v>
      </c>
      <c r="AF41" s="17"/>
      <c r="AG41" s="18"/>
      <c r="AH41" s="30"/>
      <c r="AI41" s="31"/>
      <c r="AJ41" s="32"/>
      <c r="AK41" s="22"/>
      <c r="AL41" s="13"/>
      <c r="AM41" s="13"/>
      <c r="AN41" s="13"/>
      <c r="AO41" s="13"/>
      <c r="AP41" s="13"/>
      <c r="AQ41" s="13"/>
    </row>
    <row r="42" spans="1:43" ht="17" thickBot="1" x14ac:dyDescent="0.25">
      <c r="A42" s="13"/>
      <c r="B42" s="37"/>
      <c r="C42" s="39"/>
      <c r="D42" s="41"/>
      <c r="E42" s="41"/>
      <c r="F42" s="41"/>
      <c r="G42" s="23">
        <v>29</v>
      </c>
      <c r="H42">
        <v>24</v>
      </c>
      <c r="I42">
        <v>21</v>
      </c>
      <c r="J42">
        <v>26</v>
      </c>
      <c r="K42">
        <v>13</v>
      </c>
      <c r="L42">
        <v>22</v>
      </c>
      <c r="M42">
        <v>21</v>
      </c>
      <c r="N42">
        <v>26</v>
      </c>
      <c r="O42">
        <v>11</v>
      </c>
      <c r="P42">
        <v>22</v>
      </c>
      <c r="Q42">
        <v>21</v>
      </c>
      <c r="R42">
        <v>16</v>
      </c>
      <c r="S42">
        <v>30</v>
      </c>
      <c r="AF42" s="8"/>
      <c r="AG42" s="2">
        <f>AVERAGE(H42:AE42)</f>
        <v>21.083333333333332</v>
      </c>
      <c r="AH42" s="3">
        <f>AG42*G42</f>
        <v>611.41666666666663</v>
      </c>
      <c r="AI42" s="4">
        <v>1</v>
      </c>
      <c r="AJ42" s="4">
        <f>5.4*11.6/25</f>
        <v>2.5055999999999998</v>
      </c>
      <c r="AK42" s="5">
        <f>(AH42)*1000/AJ42*AI42</f>
        <v>244020.06172839506</v>
      </c>
      <c r="AL42" s="7">
        <f>100*ABS(AH42-AH44)/AVERAGE(AH42,AH44)</f>
        <v>21.44420131291028</v>
      </c>
      <c r="AM42" s="6">
        <f>AVERAGE(AH42,AH44)</f>
        <v>552.20833333333326</v>
      </c>
      <c r="AN42" s="7" t="e">
        <f>AM42-#REF!</f>
        <v>#REF!</v>
      </c>
      <c r="AO42" s="7">
        <f>100*AM42/1500</f>
        <v>36.813888888888883</v>
      </c>
      <c r="AP42" s="7" t="e">
        <f>100*AN42/1000</f>
        <v>#REF!</v>
      </c>
      <c r="AQ42" s="6" t="e">
        <f>AH42-#REF!</f>
        <v>#REF!</v>
      </c>
    </row>
    <row r="43" spans="1:43" ht="17" thickBot="1" x14ac:dyDescent="0.25">
      <c r="A43" s="13"/>
      <c r="B43" s="36" t="s">
        <v>49</v>
      </c>
      <c r="C43" s="38" t="s">
        <v>63</v>
      </c>
      <c r="D43" s="40" t="s">
        <v>43</v>
      </c>
      <c r="E43" s="40"/>
      <c r="F43" s="40">
        <f>SUM(H44:AE44)</f>
        <v>170</v>
      </c>
      <c r="G43" s="24"/>
      <c r="H43" s="25" t="s">
        <v>8</v>
      </c>
      <c r="I43" s="25" t="s">
        <v>9</v>
      </c>
      <c r="J43" s="25" t="s">
        <v>10</v>
      </c>
      <c r="K43" s="25" t="s">
        <v>11</v>
      </c>
      <c r="L43" s="25" t="s">
        <v>12</v>
      </c>
      <c r="M43" s="25" t="s">
        <v>13</v>
      </c>
      <c r="N43" s="25" t="s">
        <v>14</v>
      </c>
      <c r="O43" s="25" t="s">
        <v>15</v>
      </c>
      <c r="P43" s="25" t="s">
        <v>16</v>
      </c>
      <c r="Q43" s="25" t="s">
        <v>17</v>
      </c>
      <c r="R43" s="25" t="s">
        <v>18</v>
      </c>
      <c r="S43" s="25" t="s">
        <v>19</v>
      </c>
      <c r="T43" s="25" t="s">
        <v>20</v>
      </c>
      <c r="U43" s="25" t="s">
        <v>21</v>
      </c>
      <c r="V43" s="25" t="s">
        <v>22</v>
      </c>
      <c r="W43" s="25" t="s">
        <v>23</v>
      </c>
      <c r="X43" s="25" t="s">
        <v>24</v>
      </c>
      <c r="Y43" s="25" t="s">
        <v>25</v>
      </c>
      <c r="Z43" s="25" t="s">
        <v>26</v>
      </c>
      <c r="AA43" s="25" t="s">
        <v>27</v>
      </c>
      <c r="AB43" s="25" t="s">
        <v>28</v>
      </c>
      <c r="AC43" s="25" t="s">
        <v>29</v>
      </c>
      <c r="AD43" s="25" t="s">
        <v>30</v>
      </c>
      <c r="AE43" s="26" t="s">
        <v>31</v>
      </c>
      <c r="AF43" s="27"/>
      <c r="AG43" s="28"/>
      <c r="AH43" s="19"/>
      <c r="AI43" s="20"/>
      <c r="AJ43" s="21"/>
      <c r="AK43" s="22"/>
      <c r="AL43" s="13"/>
      <c r="AM43" s="13"/>
      <c r="AN43" s="13"/>
      <c r="AO43" s="13"/>
      <c r="AP43" s="13"/>
      <c r="AQ43" s="29"/>
    </row>
    <row r="44" spans="1:43" ht="17" thickBot="1" x14ac:dyDescent="0.25">
      <c r="A44" s="13"/>
      <c r="B44" s="37"/>
      <c r="C44" s="39"/>
      <c r="D44" s="41"/>
      <c r="E44" s="41"/>
      <c r="F44" s="41"/>
      <c r="G44" s="23">
        <v>29</v>
      </c>
      <c r="H44">
        <v>14</v>
      </c>
      <c r="I44">
        <v>15</v>
      </c>
      <c r="J44">
        <v>14</v>
      </c>
      <c r="K44">
        <v>14</v>
      </c>
      <c r="L44">
        <v>17</v>
      </c>
      <c r="M44">
        <v>21</v>
      </c>
      <c r="N44">
        <v>18</v>
      </c>
      <c r="O44">
        <v>19</v>
      </c>
      <c r="P44">
        <v>16</v>
      </c>
      <c r="Q44">
        <v>22</v>
      </c>
      <c r="AF44" s="10"/>
      <c r="AG44" s="2">
        <f>AVERAGE(H44:AE44)</f>
        <v>17</v>
      </c>
      <c r="AH44" s="3">
        <f>AG44*G44</f>
        <v>493</v>
      </c>
      <c r="AI44" s="4">
        <v>1</v>
      </c>
      <c r="AJ44" s="4">
        <f>5.4*11.6/25</f>
        <v>2.5055999999999998</v>
      </c>
      <c r="AK44" s="5">
        <f>(AH44)*1000/AJ44*AI44</f>
        <v>196759.25925925927</v>
      </c>
      <c r="AL44" s="7"/>
      <c r="AM44" s="6" t="e">
        <f>AVERAGE(AH44,#REF!)</f>
        <v>#REF!</v>
      </c>
      <c r="AN44" s="7" t="e">
        <f>AM44-#REF!</f>
        <v>#REF!</v>
      </c>
      <c r="AO44" s="7" t="e">
        <f>100*AM44/1500</f>
        <v>#REF!</v>
      </c>
      <c r="AP44" s="7" t="e">
        <f>100*AN44/1000</f>
        <v>#REF!</v>
      </c>
      <c r="AQ44" s="6" t="e">
        <f>AH44-#REF!</f>
        <v>#REF!</v>
      </c>
    </row>
    <row r="46" spans="1:43" ht="17" thickBot="1" x14ac:dyDescent="0.25">
      <c r="A46" s="13"/>
      <c r="B46" s="36"/>
      <c r="C46" s="38" t="s">
        <v>55</v>
      </c>
      <c r="D46" s="44" t="s">
        <v>42</v>
      </c>
      <c r="E46" s="44">
        <v>0</v>
      </c>
      <c r="F46" s="40">
        <f>SUM(H47:AE47)</f>
        <v>277</v>
      </c>
      <c r="G46" s="15"/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21</v>
      </c>
      <c r="V46" s="1" t="s">
        <v>22</v>
      </c>
      <c r="W46" s="1" t="s">
        <v>23</v>
      </c>
      <c r="X46" s="1" t="s">
        <v>24</v>
      </c>
      <c r="Y46" s="1" t="s">
        <v>25</v>
      </c>
      <c r="Z46" s="1" t="s">
        <v>26</v>
      </c>
      <c r="AA46" s="1" t="s">
        <v>27</v>
      </c>
      <c r="AB46" s="1" t="s">
        <v>28</v>
      </c>
      <c r="AC46" s="1" t="s">
        <v>29</v>
      </c>
      <c r="AD46" s="1" t="s">
        <v>30</v>
      </c>
      <c r="AE46" s="1" t="s">
        <v>32</v>
      </c>
      <c r="AF46" s="17"/>
      <c r="AG46" s="18"/>
      <c r="AH46" s="30"/>
      <c r="AI46" s="31"/>
      <c r="AJ46" s="32"/>
      <c r="AK46" s="22"/>
      <c r="AL46" s="13"/>
      <c r="AM46" s="13"/>
      <c r="AN46" s="13"/>
      <c r="AO46" s="13"/>
      <c r="AP46" s="13"/>
      <c r="AQ46" s="13"/>
    </row>
    <row r="47" spans="1:43" ht="17" thickBot="1" x14ac:dyDescent="0.25">
      <c r="A47" s="13"/>
      <c r="B47" s="37"/>
      <c r="C47" s="39"/>
      <c r="D47" s="41"/>
      <c r="E47" s="41"/>
      <c r="F47" s="41"/>
      <c r="G47" s="23">
        <v>29</v>
      </c>
      <c r="H47">
        <v>15</v>
      </c>
      <c r="I47">
        <v>18</v>
      </c>
      <c r="J47">
        <v>21</v>
      </c>
      <c r="K47">
        <v>23</v>
      </c>
      <c r="L47">
        <v>14</v>
      </c>
      <c r="M47">
        <v>14</v>
      </c>
      <c r="N47">
        <v>23</v>
      </c>
      <c r="O47">
        <v>17</v>
      </c>
      <c r="P47">
        <v>25</v>
      </c>
      <c r="Q47">
        <v>20</v>
      </c>
      <c r="R47">
        <v>16</v>
      </c>
      <c r="S47">
        <v>28</v>
      </c>
      <c r="T47">
        <v>17</v>
      </c>
      <c r="U47">
        <v>26</v>
      </c>
      <c r="AF47" s="8"/>
      <c r="AG47" s="2">
        <f>AVERAGE(H47:AE47)</f>
        <v>19.785714285714285</v>
      </c>
      <c r="AH47" s="3">
        <f>AG47*G47</f>
        <v>573.78571428571422</v>
      </c>
      <c r="AI47" s="4">
        <v>1</v>
      </c>
      <c r="AJ47" s="4">
        <f>5.4*11.6/25</f>
        <v>2.5055999999999998</v>
      </c>
      <c r="AK47" s="5">
        <f>(AH47)*1000/AJ47*AI47</f>
        <v>229001.32275132273</v>
      </c>
      <c r="AL47" s="7">
        <f>100*ABS(AH47-AH49)/AVERAGE(AH47,AH49)</f>
        <v>11.171382495235289</v>
      </c>
      <c r="AM47" s="6">
        <f>AVERAGE(AH47,AH49)</f>
        <v>543.43131868131866</v>
      </c>
      <c r="AN47" s="7" t="e">
        <f>AM47-#REF!</f>
        <v>#REF!</v>
      </c>
      <c r="AO47" s="7">
        <f>100*AM47/1500</f>
        <v>36.228754578754575</v>
      </c>
      <c r="AP47" s="7" t="e">
        <f>100*AN47/1000</f>
        <v>#REF!</v>
      </c>
      <c r="AQ47" s="6" t="e">
        <f>AH47-#REF!</f>
        <v>#REF!</v>
      </c>
    </row>
    <row r="48" spans="1:43" ht="17" thickBot="1" x14ac:dyDescent="0.25">
      <c r="A48" s="13"/>
      <c r="B48" s="36" t="s">
        <v>49</v>
      </c>
      <c r="C48" s="38" t="s">
        <v>64</v>
      </c>
      <c r="D48" s="40" t="s">
        <v>43</v>
      </c>
      <c r="E48" s="40"/>
      <c r="F48" s="40">
        <f>SUM(H49:AE49)</f>
        <v>230</v>
      </c>
      <c r="G48" s="24"/>
      <c r="H48" s="25" t="s">
        <v>8</v>
      </c>
      <c r="I48" s="25" t="s">
        <v>9</v>
      </c>
      <c r="J48" s="25" t="s">
        <v>10</v>
      </c>
      <c r="K48" s="25" t="s">
        <v>11</v>
      </c>
      <c r="L48" s="25" t="s">
        <v>12</v>
      </c>
      <c r="M48" s="25" t="s">
        <v>13</v>
      </c>
      <c r="N48" s="25" t="s">
        <v>14</v>
      </c>
      <c r="O48" s="25" t="s">
        <v>15</v>
      </c>
      <c r="P48" s="25" t="s">
        <v>16</v>
      </c>
      <c r="Q48" s="25" t="s">
        <v>17</v>
      </c>
      <c r="R48" s="25" t="s">
        <v>18</v>
      </c>
      <c r="S48" s="25" t="s">
        <v>19</v>
      </c>
      <c r="T48" s="25" t="s">
        <v>20</v>
      </c>
      <c r="U48" s="25" t="s">
        <v>21</v>
      </c>
      <c r="V48" s="25" t="s">
        <v>22</v>
      </c>
      <c r="W48" s="25" t="s">
        <v>23</v>
      </c>
      <c r="X48" s="25" t="s">
        <v>24</v>
      </c>
      <c r="Y48" s="25" t="s">
        <v>25</v>
      </c>
      <c r="Z48" s="25" t="s">
        <v>26</v>
      </c>
      <c r="AA48" s="25" t="s">
        <v>27</v>
      </c>
      <c r="AB48" s="25" t="s">
        <v>28</v>
      </c>
      <c r="AC48" s="25" t="s">
        <v>29</v>
      </c>
      <c r="AD48" s="25" t="s">
        <v>30</v>
      </c>
      <c r="AE48" s="26" t="s">
        <v>31</v>
      </c>
      <c r="AF48" s="27"/>
      <c r="AG48" s="28"/>
      <c r="AH48" s="19"/>
      <c r="AI48" s="20"/>
      <c r="AJ48" s="21"/>
      <c r="AK48" s="22"/>
      <c r="AL48" s="13"/>
      <c r="AM48" s="13"/>
      <c r="AN48" s="13"/>
      <c r="AO48" s="13"/>
      <c r="AP48" s="13"/>
      <c r="AQ48" s="29"/>
    </row>
    <row r="49" spans="1:43" ht="17" thickBot="1" x14ac:dyDescent="0.25">
      <c r="A49" s="13"/>
      <c r="B49" s="37"/>
      <c r="C49" s="39"/>
      <c r="D49" s="41"/>
      <c r="E49" s="41"/>
      <c r="F49" s="41"/>
      <c r="G49" s="23">
        <v>29</v>
      </c>
      <c r="H49">
        <v>14</v>
      </c>
      <c r="I49">
        <v>14</v>
      </c>
      <c r="J49">
        <v>24</v>
      </c>
      <c r="K49">
        <v>14</v>
      </c>
      <c r="L49">
        <v>14</v>
      </c>
      <c r="M49">
        <v>14</v>
      </c>
      <c r="N49">
        <v>19</v>
      </c>
      <c r="O49">
        <v>25</v>
      </c>
      <c r="P49">
        <v>16</v>
      </c>
      <c r="Q49">
        <v>19</v>
      </c>
      <c r="R49">
        <v>18</v>
      </c>
      <c r="S49">
        <v>24</v>
      </c>
      <c r="T49">
        <v>15</v>
      </c>
      <c r="AF49" s="10"/>
      <c r="AG49" s="2">
        <f>AVERAGE(H49:AE49)</f>
        <v>17.692307692307693</v>
      </c>
      <c r="AH49" s="3">
        <f>AG49*G49</f>
        <v>513.07692307692309</v>
      </c>
      <c r="AI49" s="4">
        <v>1</v>
      </c>
      <c r="AJ49" s="4">
        <f>5.4*11.6/25</f>
        <v>2.5055999999999998</v>
      </c>
      <c r="AK49" s="5">
        <f>(AH49)*1000/AJ49*AI49</f>
        <v>204772.0797720798</v>
      </c>
      <c r="AL49" s="7"/>
      <c r="AM49" s="6" t="e">
        <f>AVERAGE(AH49,#REF!)</f>
        <v>#REF!</v>
      </c>
      <c r="AN49" s="7" t="e">
        <f>AM49-#REF!</f>
        <v>#REF!</v>
      </c>
      <c r="AO49" s="7" t="e">
        <f>100*AM49/1500</f>
        <v>#REF!</v>
      </c>
      <c r="AP49" s="7" t="e">
        <f>100*AN49/1000</f>
        <v>#REF!</v>
      </c>
      <c r="AQ49" s="6" t="e">
        <f>AH49-#REF!</f>
        <v>#REF!</v>
      </c>
    </row>
    <row r="51" spans="1:43" ht="17" thickBot="1" x14ac:dyDescent="0.25">
      <c r="A51" s="13"/>
      <c r="B51" s="36"/>
      <c r="C51" s="38" t="s">
        <v>55</v>
      </c>
      <c r="D51" s="44" t="s">
        <v>42</v>
      </c>
      <c r="E51" s="44"/>
      <c r="F51" s="40">
        <f>SUM(H52:AE52)</f>
        <v>675</v>
      </c>
      <c r="G51" s="15"/>
      <c r="H51" s="1" t="s">
        <v>8</v>
      </c>
      <c r="I51" s="1" t="s">
        <v>9</v>
      </c>
      <c r="J51" s="1" t="s">
        <v>10</v>
      </c>
      <c r="K51" s="1" t="s">
        <v>11</v>
      </c>
      <c r="L51" s="1" t="s">
        <v>12</v>
      </c>
      <c r="M51" s="1" t="s">
        <v>13</v>
      </c>
      <c r="N51" s="1" t="s">
        <v>14</v>
      </c>
      <c r="O51" s="1" t="s">
        <v>15</v>
      </c>
      <c r="P51" s="1" t="s">
        <v>16</v>
      </c>
      <c r="Q51" s="1" t="s">
        <v>17</v>
      </c>
      <c r="R51" s="1" t="s">
        <v>18</v>
      </c>
      <c r="S51" s="1" t="s">
        <v>19</v>
      </c>
      <c r="T51" s="1" t="s">
        <v>20</v>
      </c>
      <c r="U51" s="1" t="s">
        <v>21</v>
      </c>
      <c r="V51" s="1" t="s">
        <v>22</v>
      </c>
      <c r="W51" s="1" t="s">
        <v>23</v>
      </c>
      <c r="X51" s="1" t="s">
        <v>24</v>
      </c>
      <c r="Y51" s="1" t="s">
        <v>25</v>
      </c>
      <c r="Z51" s="1" t="s">
        <v>26</v>
      </c>
      <c r="AA51" s="1" t="s">
        <v>27</v>
      </c>
      <c r="AB51" s="1" t="s">
        <v>28</v>
      </c>
      <c r="AC51" s="1" t="s">
        <v>29</v>
      </c>
      <c r="AD51" s="1" t="s">
        <v>30</v>
      </c>
      <c r="AE51" s="1" t="s">
        <v>32</v>
      </c>
      <c r="AF51" s="17"/>
      <c r="AG51" s="18"/>
      <c r="AH51" s="30"/>
      <c r="AI51" s="31"/>
      <c r="AJ51" s="32"/>
      <c r="AK51" s="22"/>
      <c r="AL51" s="13"/>
      <c r="AM51" s="13"/>
      <c r="AN51" s="13"/>
      <c r="AO51" s="13"/>
      <c r="AP51" s="13"/>
      <c r="AQ51" s="13"/>
    </row>
    <row r="52" spans="1:43" ht="17" thickBot="1" x14ac:dyDescent="0.25">
      <c r="A52" s="13"/>
      <c r="B52" s="37"/>
      <c r="C52" s="39"/>
      <c r="D52" s="41"/>
      <c r="E52" s="41"/>
      <c r="F52" s="41"/>
      <c r="G52" s="23">
        <v>29</v>
      </c>
      <c r="H52">
        <v>56</v>
      </c>
      <c r="I52">
        <v>50</v>
      </c>
      <c r="J52">
        <v>47</v>
      </c>
      <c r="K52">
        <v>56</v>
      </c>
      <c r="L52">
        <v>59</v>
      </c>
      <c r="M52">
        <v>92</v>
      </c>
      <c r="N52">
        <v>54</v>
      </c>
      <c r="O52">
        <v>51</v>
      </c>
      <c r="P52">
        <v>53</v>
      </c>
      <c r="Q52">
        <v>59</v>
      </c>
      <c r="R52">
        <v>41</v>
      </c>
      <c r="S52">
        <v>57</v>
      </c>
      <c r="AF52" s="8"/>
      <c r="AG52" s="2">
        <f>AVERAGE(H52:AE52)</f>
        <v>56.25</v>
      </c>
      <c r="AH52" s="3">
        <f>AG52*G52</f>
        <v>1631.25</v>
      </c>
      <c r="AI52" s="4">
        <v>1</v>
      </c>
      <c r="AJ52" s="4">
        <f>5.4*11.6/25</f>
        <v>2.5055999999999998</v>
      </c>
      <c r="AK52" s="5">
        <f>(AH52)*1000/AJ52*AI52</f>
        <v>651041.66666666674</v>
      </c>
      <c r="AL52" s="7">
        <f>100*ABS(AH52-AH54)/AVERAGE(AH52,AH54)</f>
        <v>22.222222222222221</v>
      </c>
      <c r="AM52" s="6">
        <f>AVERAGE(AH52,AH54)</f>
        <v>1468.125</v>
      </c>
      <c r="AN52" s="7" t="e">
        <f>AM52-#REF!</f>
        <v>#REF!</v>
      </c>
      <c r="AO52" s="7">
        <f>100*AM52/1500</f>
        <v>97.875</v>
      </c>
      <c r="AP52" s="7" t="e">
        <f>100*AN52/1000</f>
        <v>#REF!</v>
      </c>
      <c r="AQ52" s="6" t="e">
        <f>AH52-#REF!</f>
        <v>#REF!</v>
      </c>
    </row>
    <row r="53" spans="1:43" ht="17" thickBot="1" x14ac:dyDescent="0.25">
      <c r="A53" s="13"/>
      <c r="B53" s="36" t="s">
        <v>49</v>
      </c>
      <c r="C53" s="38" t="s">
        <v>65</v>
      </c>
      <c r="D53" s="40" t="s">
        <v>43</v>
      </c>
      <c r="E53" s="40"/>
      <c r="F53" s="40">
        <f>SUM(H54:AE54)</f>
        <v>585</v>
      </c>
      <c r="G53" s="24"/>
      <c r="H53" s="25" t="s">
        <v>8</v>
      </c>
      <c r="I53" s="25" t="s">
        <v>9</v>
      </c>
      <c r="J53" s="25" t="s">
        <v>10</v>
      </c>
      <c r="K53" s="25" t="s">
        <v>11</v>
      </c>
      <c r="L53" s="25" t="s">
        <v>12</v>
      </c>
      <c r="M53" s="25" t="s">
        <v>13</v>
      </c>
      <c r="N53" s="25" t="s">
        <v>14</v>
      </c>
      <c r="O53" s="25" t="s">
        <v>15</v>
      </c>
      <c r="P53" s="25" t="s">
        <v>16</v>
      </c>
      <c r="Q53" s="25" t="s">
        <v>17</v>
      </c>
      <c r="R53" s="25" t="s">
        <v>18</v>
      </c>
      <c r="S53" s="25" t="s">
        <v>19</v>
      </c>
      <c r="T53" s="25" t="s">
        <v>20</v>
      </c>
      <c r="U53" s="25" t="s">
        <v>21</v>
      </c>
      <c r="V53" s="25" t="s">
        <v>22</v>
      </c>
      <c r="W53" s="25" t="s">
        <v>23</v>
      </c>
      <c r="X53" s="25" t="s">
        <v>24</v>
      </c>
      <c r="Y53" s="25" t="s">
        <v>25</v>
      </c>
      <c r="Z53" s="25" t="s">
        <v>26</v>
      </c>
      <c r="AA53" s="25" t="s">
        <v>27</v>
      </c>
      <c r="AB53" s="25" t="s">
        <v>28</v>
      </c>
      <c r="AC53" s="25" t="s">
        <v>29</v>
      </c>
      <c r="AD53" s="25" t="s">
        <v>30</v>
      </c>
      <c r="AE53" s="26" t="s">
        <v>31</v>
      </c>
      <c r="AF53" s="27"/>
      <c r="AG53" s="28"/>
      <c r="AH53" s="19"/>
      <c r="AI53" s="20"/>
      <c r="AJ53" s="21"/>
      <c r="AK53" s="22"/>
      <c r="AL53" s="13"/>
      <c r="AM53" s="13"/>
      <c r="AN53" s="13"/>
      <c r="AO53" s="13"/>
      <c r="AP53" s="13"/>
      <c r="AQ53" s="29"/>
    </row>
    <row r="54" spans="1:43" ht="17" thickBot="1" x14ac:dyDescent="0.25">
      <c r="A54" s="13"/>
      <c r="B54" s="37"/>
      <c r="C54" s="39"/>
      <c r="D54" s="41"/>
      <c r="E54" s="41"/>
      <c r="F54" s="41"/>
      <c r="G54" s="23">
        <v>29</v>
      </c>
      <c r="H54">
        <v>38</v>
      </c>
      <c r="I54">
        <v>42</v>
      </c>
      <c r="J54">
        <v>42</v>
      </c>
      <c r="K54">
        <v>47</v>
      </c>
      <c r="L54">
        <v>57</v>
      </c>
      <c r="M54">
        <v>36</v>
      </c>
      <c r="N54">
        <v>39</v>
      </c>
      <c r="O54">
        <v>39</v>
      </c>
      <c r="P54">
        <v>43</v>
      </c>
      <c r="Q54">
        <v>55</v>
      </c>
      <c r="R54">
        <v>55</v>
      </c>
      <c r="S54">
        <v>52</v>
      </c>
      <c r="T54">
        <v>40</v>
      </c>
      <c r="AF54" s="10"/>
      <c r="AG54" s="2">
        <f>AVERAGE(H54:AE54)</f>
        <v>45</v>
      </c>
      <c r="AH54" s="3">
        <f>AG54*G54</f>
        <v>1305</v>
      </c>
      <c r="AI54" s="4">
        <v>1</v>
      </c>
      <c r="AJ54" s="4">
        <f>5.4*11.6/25</f>
        <v>2.5055999999999998</v>
      </c>
      <c r="AK54" s="5">
        <f>(AH54)*1000/AJ54*AI54</f>
        <v>520833.33333333337</v>
      </c>
      <c r="AL54" s="7"/>
      <c r="AM54" s="6" t="e">
        <f>AVERAGE(AH54,#REF!)</f>
        <v>#REF!</v>
      </c>
      <c r="AN54" s="7" t="e">
        <f>AM54-#REF!</f>
        <v>#REF!</v>
      </c>
      <c r="AO54" s="7" t="e">
        <f>100*AM54/1500</f>
        <v>#REF!</v>
      </c>
      <c r="AP54" s="7" t="e">
        <f>100*AN54/1000</f>
        <v>#REF!</v>
      </c>
      <c r="AQ54" s="6" t="e">
        <f>AH54-#REF!</f>
        <v>#REF!</v>
      </c>
    </row>
    <row r="56" spans="1:43" ht="17" thickBot="1" x14ac:dyDescent="0.25">
      <c r="A56" s="13"/>
      <c r="B56" s="36"/>
      <c r="C56" s="38" t="s">
        <v>55</v>
      </c>
      <c r="D56" s="44" t="s">
        <v>42</v>
      </c>
      <c r="E56" s="44"/>
      <c r="F56" s="40">
        <f>SUM(H57:AE57)</f>
        <v>207</v>
      </c>
      <c r="G56" s="15"/>
      <c r="H56" s="1" t="s">
        <v>8</v>
      </c>
      <c r="I56" s="1" t="s">
        <v>9</v>
      </c>
      <c r="J56" s="1" t="s">
        <v>10</v>
      </c>
      <c r="K56" s="1" t="s">
        <v>11</v>
      </c>
      <c r="L56" s="1" t="s">
        <v>12</v>
      </c>
      <c r="M56" s="1" t="s">
        <v>13</v>
      </c>
      <c r="N56" s="1" t="s">
        <v>14</v>
      </c>
      <c r="O56" s="1" t="s">
        <v>15</v>
      </c>
      <c r="P56" s="1" t="s">
        <v>16</v>
      </c>
      <c r="Q56" s="1" t="s">
        <v>17</v>
      </c>
      <c r="R56" s="1" t="s">
        <v>18</v>
      </c>
      <c r="S56" s="1" t="s">
        <v>19</v>
      </c>
      <c r="T56" s="1" t="s">
        <v>20</v>
      </c>
      <c r="U56" s="1" t="s">
        <v>21</v>
      </c>
      <c r="V56" s="1" t="s">
        <v>22</v>
      </c>
      <c r="W56" s="1" t="s">
        <v>23</v>
      </c>
      <c r="X56" s="1" t="s">
        <v>24</v>
      </c>
      <c r="Y56" s="1" t="s">
        <v>25</v>
      </c>
      <c r="Z56" s="1" t="s">
        <v>26</v>
      </c>
      <c r="AA56" s="1" t="s">
        <v>27</v>
      </c>
      <c r="AB56" s="1" t="s">
        <v>28</v>
      </c>
      <c r="AC56" s="1" t="s">
        <v>29</v>
      </c>
      <c r="AD56" s="1" t="s">
        <v>30</v>
      </c>
      <c r="AE56" s="1" t="s">
        <v>32</v>
      </c>
      <c r="AF56" s="17"/>
      <c r="AG56" s="18"/>
      <c r="AH56" s="30"/>
      <c r="AI56" s="31"/>
      <c r="AJ56" s="32"/>
      <c r="AK56" s="22"/>
      <c r="AL56" s="13"/>
      <c r="AM56" s="13"/>
      <c r="AN56" s="13"/>
      <c r="AO56" s="13"/>
      <c r="AP56" s="13"/>
      <c r="AQ56" s="13"/>
    </row>
    <row r="57" spans="1:43" ht="17" thickBot="1" x14ac:dyDescent="0.25">
      <c r="A57" s="13"/>
      <c r="B57" s="37"/>
      <c r="C57" s="39"/>
      <c r="D57" s="41"/>
      <c r="E57" s="41"/>
      <c r="F57" s="41"/>
      <c r="G57" s="23">
        <v>29</v>
      </c>
      <c r="H57">
        <v>10</v>
      </c>
      <c r="I57">
        <v>13</v>
      </c>
      <c r="J57">
        <v>6</v>
      </c>
      <c r="K57">
        <v>6</v>
      </c>
      <c r="L57">
        <v>7</v>
      </c>
      <c r="M57">
        <v>11</v>
      </c>
      <c r="N57">
        <v>8</v>
      </c>
      <c r="O57">
        <v>6</v>
      </c>
      <c r="P57">
        <v>9</v>
      </c>
      <c r="Q57">
        <v>6</v>
      </c>
      <c r="R57">
        <v>14</v>
      </c>
      <c r="S57">
        <v>14</v>
      </c>
      <c r="T57">
        <v>4</v>
      </c>
      <c r="U57">
        <v>6</v>
      </c>
      <c r="V57">
        <v>7</v>
      </c>
      <c r="W57">
        <v>8</v>
      </c>
      <c r="X57">
        <v>10</v>
      </c>
      <c r="Y57">
        <v>14</v>
      </c>
      <c r="Z57">
        <v>13</v>
      </c>
      <c r="AA57">
        <v>10</v>
      </c>
      <c r="AB57">
        <v>5</v>
      </c>
      <c r="AC57">
        <v>5</v>
      </c>
      <c r="AD57">
        <v>4</v>
      </c>
      <c r="AE57">
        <v>11</v>
      </c>
      <c r="AF57" s="8"/>
      <c r="AG57" s="2">
        <f>AVERAGE(H57:AE57)</f>
        <v>8.625</v>
      </c>
      <c r="AH57" s="3">
        <f>AG57*G57</f>
        <v>250.125</v>
      </c>
      <c r="AI57" s="4">
        <v>1</v>
      </c>
      <c r="AJ57" s="4">
        <f>5.4*11.6/25</f>
        <v>2.5055999999999998</v>
      </c>
      <c r="AK57" s="5">
        <f>(AH57)*1000/AJ57*AI57</f>
        <v>99826.388888888891</v>
      </c>
      <c r="AL57" s="7">
        <f>100*ABS(AH57-AH59)/AVERAGE(AH57,AH59)</f>
        <v>10.180360721442888</v>
      </c>
      <c r="AM57" s="6">
        <f>AVERAGE(AH57,AH59)</f>
        <v>238.00986842105263</v>
      </c>
      <c r="AN57" s="7" t="e">
        <f>AM57-#REF!</f>
        <v>#REF!</v>
      </c>
      <c r="AO57" s="7">
        <f>100*AM57/1500</f>
        <v>15.867324561403509</v>
      </c>
      <c r="AP57" s="7" t="e">
        <f>100*AN57/1000</f>
        <v>#REF!</v>
      </c>
      <c r="AQ57" s="6" t="e">
        <f>AH57-#REF!</f>
        <v>#REF!</v>
      </c>
    </row>
    <row r="58" spans="1:43" ht="17" thickBot="1" x14ac:dyDescent="0.25">
      <c r="A58" s="13"/>
      <c r="B58" s="36" t="s">
        <v>49</v>
      </c>
      <c r="C58" s="38" t="s">
        <v>66</v>
      </c>
      <c r="D58" s="40" t="s">
        <v>43</v>
      </c>
      <c r="E58" s="40"/>
      <c r="F58" s="40">
        <f>SUM(H59:AE59)</f>
        <v>148</v>
      </c>
      <c r="G58" s="24"/>
      <c r="H58" s="25" t="s">
        <v>8</v>
      </c>
      <c r="I58" s="25" t="s">
        <v>9</v>
      </c>
      <c r="J58" s="25" t="s">
        <v>10</v>
      </c>
      <c r="K58" s="25" t="s">
        <v>11</v>
      </c>
      <c r="L58" s="25" t="s">
        <v>12</v>
      </c>
      <c r="M58" s="25" t="s">
        <v>13</v>
      </c>
      <c r="N58" s="25" t="s">
        <v>14</v>
      </c>
      <c r="O58" s="25" t="s">
        <v>15</v>
      </c>
      <c r="P58" s="25" t="s">
        <v>16</v>
      </c>
      <c r="Q58" s="25" t="s">
        <v>17</v>
      </c>
      <c r="R58" s="25" t="s">
        <v>18</v>
      </c>
      <c r="S58" s="25" t="s">
        <v>19</v>
      </c>
      <c r="T58" s="25" t="s">
        <v>20</v>
      </c>
      <c r="U58" s="25" t="s">
        <v>21</v>
      </c>
      <c r="V58" s="25" t="s">
        <v>22</v>
      </c>
      <c r="W58" s="25" t="s">
        <v>23</v>
      </c>
      <c r="X58" s="25" t="s">
        <v>24</v>
      </c>
      <c r="Y58" s="25" t="s">
        <v>25</v>
      </c>
      <c r="Z58" s="25" t="s">
        <v>26</v>
      </c>
      <c r="AA58" s="25" t="s">
        <v>27</v>
      </c>
      <c r="AB58" s="25" t="s">
        <v>28</v>
      </c>
      <c r="AC58" s="25" t="s">
        <v>29</v>
      </c>
      <c r="AD58" s="25" t="s">
        <v>30</v>
      </c>
      <c r="AE58" s="26" t="s">
        <v>31</v>
      </c>
      <c r="AF58" s="27"/>
      <c r="AG58" s="28"/>
      <c r="AH58" s="19"/>
      <c r="AI58" s="20"/>
      <c r="AJ58" s="21"/>
      <c r="AK58" s="22"/>
      <c r="AL58" s="13"/>
      <c r="AM58" s="13"/>
      <c r="AN58" s="13"/>
      <c r="AO58" s="13"/>
      <c r="AP58" s="13"/>
      <c r="AQ58" s="29"/>
    </row>
    <row r="59" spans="1:43" ht="17" thickBot="1" x14ac:dyDescent="0.25">
      <c r="A59" s="13"/>
      <c r="B59" s="37"/>
      <c r="C59" s="39"/>
      <c r="D59" s="41"/>
      <c r="E59" s="41"/>
      <c r="F59" s="41"/>
      <c r="G59" s="23">
        <v>29</v>
      </c>
      <c r="H59">
        <v>5</v>
      </c>
      <c r="I59">
        <v>8</v>
      </c>
      <c r="J59">
        <v>9</v>
      </c>
      <c r="K59">
        <v>8</v>
      </c>
      <c r="L59">
        <v>10</v>
      </c>
      <c r="M59">
        <v>9</v>
      </c>
      <c r="N59">
        <v>11</v>
      </c>
      <c r="O59">
        <v>13</v>
      </c>
      <c r="P59">
        <v>5</v>
      </c>
      <c r="Q59">
        <v>6</v>
      </c>
      <c r="R59">
        <v>5</v>
      </c>
      <c r="S59">
        <v>3</v>
      </c>
      <c r="T59">
        <v>3</v>
      </c>
      <c r="U59">
        <v>11</v>
      </c>
      <c r="V59">
        <v>7</v>
      </c>
      <c r="W59">
        <v>8</v>
      </c>
      <c r="X59">
        <v>5</v>
      </c>
      <c r="Y59">
        <v>10</v>
      </c>
      <c r="Z59">
        <v>12</v>
      </c>
      <c r="AF59" s="10"/>
      <c r="AG59" s="2">
        <f>AVERAGE(H59:AE59)</f>
        <v>7.7894736842105265</v>
      </c>
      <c r="AH59" s="3">
        <f>AG59*G59</f>
        <v>225.89473684210526</v>
      </c>
      <c r="AI59" s="4">
        <v>1</v>
      </c>
      <c r="AJ59" s="4">
        <f>5.4*11.6/25</f>
        <v>2.5055999999999998</v>
      </c>
      <c r="AK59" s="5">
        <f>(AH59)*1000/AJ59*AI59</f>
        <v>90155.945419103315</v>
      </c>
      <c r="AL59" s="7"/>
      <c r="AM59" s="6" t="e">
        <f>AVERAGE(AH59,#REF!)</f>
        <v>#REF!</v>
      </c>
      <c r="AN59" s="7" t="e">
        <f>AM59-#REF!</f>
        <v>#REF!</v>
      </c>
      <c r="AO59" s="7" t="e">
        <f>100*AM59/1500</f>
        <v>#REF!</v>
      </c>
      <c r="AP59" s="7" t="e">
        <f>100*AN59/1000</f>
        <v>#REF!</v>
      </c>
      <c r="AQ59" s="6" t="e">
        <f>AH59-#REF!</f>
        <v>#REF!</v>
      </c>
    </row>
    <row r="61" spans="1:43" ht="17" thickBot="1" x14ac:dyDescent="0.25">
      <c r="A61" s="13"/>
      <c r="B61" s="36"/>
      <c r="C61" s="38" t="s">
        <v>55</v>
      </c>
      <c r="D61" s="44" t="s">
        <v>42</v>
      </c>
      <c r="E61" s="44"/>
      <c r="F61" s="40">
        <f>SUM(H62:AE62)</f>
        <v>186</v>
      </c>
      <c r="G61" s="15"/>
      <c r="H61" s="1" t="s">
        <v>8</v>
      </c>
      <c r="I61" s="1" t="s">
        <v>9</v>
      </c>
      <c r="J61" s="1" t="s">
        <v>10</v>
      </c>
      <c r="K61" s="1" t="s">
        <v>11</v>
      </c>
      <c r="L61" s="1" t="s">
        <v>12</v>
      </c>
      <c r="M61" s="1" t="s">
        <v>13</v>
      </c>
      <c r="N61" s="1" t="s">
        <v>14</v>
      </c>
      <c r="O61" s="1" t="s">
        <v>15</v>
      </c>
      <c r="P61" s="1" t="s">
        <v>16</v>
      </c>
      <c r="Q61" s="1" t="s">
        <v>17</v>
      </c>
      <c r="R61" s="1" t="s">
        <v>18</v>
      </c>
      <c r="S61" s="1" t="s">
        <v>19</v>
      </c>
      <c r="T61" s="1" t="s">
        <v>20</v>
      </c>
      <c r="U61" s="1" t="s">
        <v>21</v>
      </c>
      <c r="V61" s="1" t="s">
        <v>22</v>
      </c>
      <c r="W61" s="1" t="s">
        <v>23</v>
      </c>
      <c r="X61" s="1" t="s">
        <v>24</v>
      </c>
      <c r="Y61" s="1" t="s">
        <v>25</v>
      </c>
      <c r="Z61" s="1" t="s">
        <v>26</v>
      </c>
      <c r="AA61" s="1" t="s">
        <v>27</v>
      </c>
      <c r="AB61" s="1" t="s">
        <v>28</v>
      </c>
      <c r="AC61" s="1" t="s">
        <v>29</v>
      </c>
      <c r="AD61" s="1" t="s">
        <v>30</v>
      </c>
      <c r="AE61" s="1" t="s">
        <v>32</v>
      </c>
      <c r="AF61" s="17"/>
      <c r="AG61" s="18"/>
      <c r="AH61" s="30"/>
      <c r="AI61" s="31"/>
      <c r="AJ61" s="32"/>
      <c r="AK61" s="22"/>
      <c r="AL61" s="13"/>
      <c r="AM61" s="13"/>
      <c r="AN61" s="13"/>
      <c r="AO61" s="13"/>
      <c r="AP61" s="13"/>
      <c r="AQ61" s="13"/>
    </row>
    <row r="62" spans="1:43" ht="17" thickBot="1" x14ac:dyDescent="0.25">
      <c r="A62" s="13"/>
      <c r="B62" s="37"/>
      <c r="C62" s="39"/>
      <c r="D62" s="41"/>
      <c r="E62" s="41"/>
      <c r="F62" s="41"/>
      <c r="G62" s="23">
        <v>29</v>
      </c>
      <c r="H62">
        <v>9</v>
      </c>
      <c r="I62">
        <v>9</v>
      </c>
      <c r="J62">
        <v>7</v>
      </c>
      <c r="K62">
        <v>13</v>
      </c>
      <c r="L62">
        <v>10</v>
      </c>
      <c r="M62">
        <v>11</v>
      </c>
      <c r="N62">
        <v>10</v>
      </c>
      <c r="O62">
        <v>8</v>
      </c>
      <c r="P62">
        <v>10</v>
      </c>
      <c r="Q62">
        <v>6</v>
      </c>
      <c r="R62">
        <v>11</v>
      </c>
      <c r="S62">
        <v>7</v>
      </c>
      <c r="T62">
        <v>7</v>
      </c>
      <c r="U62">
        <v>7</v>
      </c>
      <c r="V62">
        <v>8</v>
      </c>
      <c r="W62">
        <v>7</v>
      </c>
      <c r="X62">
        <v>3</v>
      </c>
      <c r="Y62">
        <v>5</v>
      </c>
      <c r="Z62">
        <v>3</v>
      </c>
      <c r="AA62">
        <v>12</v>
      </c>
      <c r="AB62">
        <v>4</v>
      </c>
      <c r="AC62">
        <v>6</v>
      </c>
      <c r="AD62">
        <v>8</v>
      </c>
      <c r="AE62">
        <v>5</v>
      </c>
      <c r="AF62" s="8"/>
      <c r="AG62" s="2">
        <f>AVERAGE(H62:AE62)</f>
        <v>7.75</v>
      </c>
      <c r="AH62" s="3">
        <f>AG62*G62</f>
        <v>224.75</v>
      </c>
      <c r="AI62" s="4">
        <v>1</v>
      </c>
      <c r="AJ62" s="4">
        <f>5.4*11.6/25</f>
        <v>2.5055999999999998</v>
      </c>
      <c r="AK62" s="5">
        <f>(AH62)*1000/AJ62*AI62</f>
        <v>89699.074074074073</v>
      </c>
      <c r="AL62" s="7">
        <f>100*ABS(AH62-AH64)/AVERAGE(AH62,AH64)</f>
        <v>17.22265321955004</v>
      </c>
      <c r="AM62" s="6">
        <f>AVERAGE(AH62,AH64)</f>
        <v>245.92763157894737</v>
      </c>
      <c r="AN62" s="7" t="e">
        <f>AM62-#REF!</f>
        <v>#REF!</v>
      </c>
      <c r="AO62" s="7">
        <f>100*AM62/1500</f>
        <v>16.395175438596493</v>
      </c>
      <c r="AP62" s="7" t="e">
        <f>100*AN62/1000</f>
        <v>#REF!</v>
      </c>
      <c r="AQ62" s="6" t="e">
        <f>AH62-#REF!</f>
        <v>#REF!</v>
      </c>
    </row>
    <row r="63" spans="1:43" ht="17" thickBot="1" x14ac:dyDescent="0.25">
      <c r="A63" s="13"/>
      <c r="B63" s="36" t="s">
        <v>49</v>
      </c>
      <c r="C63" s="38" t="s">
        <v>67</v>
      </c>
      <c r="D63" s="40" t="s">
        <v>43</v>
      </c>
      <c r="E63" s="40"/>
      <c r="F63" s="40">
        <f>SUM(H64:AE64)</f>
        <v>175</v>
      </c>
      <c r="G63" s="24"/>
      <c r="H63" s="25" t="s">
        <v>8</v>
      </c>
      <c r="I63" s="25" t="s">
        <v>9</v>
      </c>
      <c r="J63" s="25" t="s">
        <v>10</v>
      </c>
      <c r="K63" s="25" t="s">
        <v>11</v>
      </c>
      <c r="L63" s="25" t="s">
        <v>12</v>
      </c>
      <c r="M63" s="25" t="s">
        <v>13</v>
      </c>
      <c r="N63" s="25" t="s">
        <v>14</v>
      </c>
      <c r="O63" s="25" t="s">
        <v>15</v>
      </c>
      <c r="P63" s="25" t="s">
        <v>16</v>
      </c>
      <c r="Q63" s="25" t="s">
        <v>17</v>
      </c>
      <c r="R63" s="25" t="s">
        <v>18</v>
      </c>
      <c r="S63" s="25" t="s">
        <v>19</v>
      </c>
      <c r="T63" s="25" t="s">
        <v>20</v>
      </c>
      <c r="U63" s="25" t="s">
        <v>21</v>
      </c>
      <c r="V63" s="25" t="s">
        <v>22</v>
      </c>
      <c r="W63" s="25" t="s">
        <v>23</v>
      </c>
      <c r="X63" s="25" t="s">
        <v>24</v>
      </c>
      <c r="Y63" s="25" t="s">
        <v>25</v>
      </c>
      <c r="Z63" s="25" t="s">
        <v>26</v>
      </c>
      <c r="AA63" s="25" t="s">
        <v>27</v>
      </c>
      <c r="AB63" s="25" t="s">
        <v>28</v>
      </c>
      <c r="AC63" s="25" t="s">
        <v>29</v>
      </c>
      <c r="AD63" s="25" t="s">
        <v>30</v>
      </c>
      <c r="AE63" s="26" t="s">
        <v>31</v>
      </c>
      <c r="AF63" s="27"/>
      <c r="AG63" s="28"/>
      <c r="AH63" s="19"/>
      <c r="AI63" s="20"/>
      <c r="AJ63" s="21"/>
      <c r="AK63" s="22"/>
      <c r="AL63" s="13"/>
      <c r="AM63" s="13"/>
      <c r="AN63" s="13"/>
      <c r="AO63" s="13"/>
      <c r="AP63" s="13"/>
      <c r="AQ63" s="29"/>
    </row>
    <row r="64" spans="1:43" ht="17" thickBot="1" x14ac:dyDescent="0.25">
      <c r="A64" s="13"/>
      <c r="B64" s="37"/>
      <c r="C64" s="39"/>
      <c r="D64" s="41"/>
      <c r="E64" s="41"/>
      <c r="F64" s="41"/>
      <c r="G64" s="23">
        <v>29</v>
      </c>
      <c r="H64">
        <v>5</v>
      </c>
      <c r="I64">
        <v>10</v>
      </c>
      <c r="J64">
        <v>11</v>
      </c>
      <c r="K64">
        <v>13</v>
      </c>
      <c r="L64">
        <v>8</v>
      </c>
      <c r="M64">
        <v>7</v>
      </c>
      <c r="N64">
        <v>12</v>
      </c>
      <c r="O64">
        <v>7</v>
      </c>
      <c r="P64">
        <v>4</v>
      </c>
      <c r="Q64">
        <v>12</v>
      </c>
      <c r="R64">
        <v>13</v>
      </c>
      <c r="S64">
        <v>9</v>
      </c>
      <c r="T64">
        <v>8</v>
      </c>
      <c r="U64">
        <v>10</v>
      </c>
      <c r="V64">
        <v>15</v>
      </c>
      <c r="W64">
        <v>8</v>
      </c>
      <c r="X64">
        <v>7</v>
      </c>
      <c r="Y64">
        <v>9</v>
      </c>
      <c r="Z64">
        <v>7</v>
      </c>
      <c r="AF64" s="10"/>
      <c r="AG64" s="2">
        <f>AVERAGE(H64:AE64)</f>
        <v>9.2105263157894743</v>
      </c>
      <c r="AH64" s="3">
        <f>AG64*G64</f>
        <v>267.10526315789474</v>
      </c>
      <c r="AI64" s="4">
        <v>1</v>
      </c>
      <c r="AJ64" s="4">
        <f>5.4*11.6/25</f>
        <v>2.5055999999999998</v>
      </c>
      <c r="AK64" s="5">
        <f>(AH64)*1000/AJ64*AI64</f>
        <v>106603.31384015594</v>
      </c>
      <c r="AL64" s="7"/>
      <c r="AM64" s="6" t="e">
        <f>AVERAGE(AH64,#REF!)</f>
        <v>#REF!</v>
      </c>
      <c r="AN64" s="7" t="e">
        <f>AM64-#REF!</f>
        <v>#REF!</v>
      </c>
      <c r="AO64" s="7" t="e">
        <f>100*AM64/1500</f>
        <v>#REF!</v>
      </c>
      <c r="AP64" s="7" t="e">
        <f>100*AN64/1000</f>
        <v>#REF!</v>
      </c>
      <c r="AQ64" s="6" t="e">
        <f>AH64-#REF!</f>
        <v>#REF!</v>
      </c>
    </row>
  </sheetData>
  <mergeCells count="132">
    <mergeCell ref="B61:B62"/>
    <mergeCell ref="C61:C62"/>
    <mergeCell ref="D61:D62"/>
    <mergeCell ref="E61:E62"/>
    <mergeCell ref="F61:F62"/>
    <mergeCell ref="B63:B64"/>
    <mergeCell ref="C63:C64"/>
    <mergeCell ref="D63:D64"/>
    <mergeCell ref="E63:E64"/>
    <mergeCell ref="F63:F64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B51:B52"/>
    <mergeCell ref="C51:C52"/>
    <mergeCell ref="D51:D52"/>
    <mergeCell ref="E51:E52"/>
    <mergeCell ref="F51:F52"/>
    <mergeCell ref="B53:B54"/>
    <mergeCell ref="C53:C54"/>
    <mergeCell ref="D53:D54"/>
    <mergeCell ref="E53:E54"/>
    <mergeCell ref="F53:F54"/>
    <mergeCell ref="AK4:AK5"/>
    <mergeCell ref="B4:B5"/>
    <mergeCell ref="C4:C5"/>
    <mergeCell ref="D4:D5"/>
    <mergeCell ref="E4:E5"/>
    <mergeCell ref="F4:F5"/>
    <mergeCell ref="G4:G5"/>
    <mergeCell ref="H4:AE5"/>
    <mergeCell ref="AG4:AG5"/>
    <mergeCell ref="AH4:AH5"/>
    <mergeCell ref="AI4:AI5"/>
    <mergeCell ref="AJ4:AJ5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B13:B14"/>
    <mergeCell ref="C13:C14"/>
    <mergeCell ref="D13:D14"/>
    <mergeCell ref="E13:E14"/>
    <mergeCell ref="F13:F14"/>
    <mergeCell ref="B11:B12"/>
    <mergeCell ref="C11:C12"/>
    <mergeCell ref="D11:D12"/>
    <mergeCell ref="E11:E12"/>
    <mergeCell ref="F11:F12"/>
    <mergeCell ref="B18:B19"/>
    <mergeCell ref="C18:C19"/>
    <mergeCell ref="D18:D19"/>
    <mergeCell ref="E18:E19"/>
    <mergeCell ref="F18:F19"/>
    <mergeCell ref="B16:B17"/>
    <mergeCell ref="C16:C17"/>
    <mergeCell ref="D16:D17"/>
    <mergeCell ref="E16:E17"/>
    <mergeCell ref="F16:F17"/>
    <mergeCell ref="B23:B24"/>
    <mergeCell ref="C23:C24"/>
    <mergeCell ref="D23:D24"/>
    <mergeCell ref="E23:E24"/>
    <mergeCell ref="F23:F24"/>
    <mergeCell ref="B21:B22"/>
    <mergeCell ref="C21:C22"/>
    <mergeCell ref="D21:D22"/>
    <mergeCell ref="E21:E22"/>
    <mergeCell ref="F21:F22"/>
    <mergeCell ref="B28:B29"/>
    <mergeCell ref="C28:C29"/>
    <mergeCell ref="D28:D29"/>
    <mergeCell ref="E28:E29"/>
    <mergeCell ref="F28:F29"/>
    <mergeCell ref="B26:B27"/>
    <mergeCell ref="C26:C27"/>
    <mergeCell ref="D26:D27"/>
    <mergeCell ref="E26:E27"/>
    <mergeCell ref="F26:F27"/>
    <mergeCell ref="B33:B34"/>
    <mergeCell ref="C33:C34"/>
    <mergeCell ref="D33:D34"/>
    <mergeCell ref="E33:E34"/>
    <mergeCell ref="F33:F34"/>
    <mergeCell ref="B31:B32"/>
    <mergeCell ref="C31:C32"/>
    <mergeCell ref="D31:D32"/>
    <mergeCell ref="E31:E32"/>
    <mergeCell ref="F31:F32"/>
    <mergeCell ref="B38:B39"/>
    <mergeCell ref="C38:C39"/>
    <mergeCell ref="D38:D39"/>
    <mergeCell ref="E38:E39"/>
    <mergeCell ref="F38:F39"/>
    <mergeCell ref="B36:B37"/>
    <mergeCell ref="C36:C37"/>
    <mergeCell ref="D36:D37"/>
    <mergeCell ref="E36:E37"/>
    <mergeCell ref="F36:F37"/>
    <mergeCell ref="B43:B44"/>
    <mergeCell ref="C43:C44"/>
    <mergeCell ref="D43:D44"/>
    <mergeCell ref="E43:E44"/>
    <mergeCell ref="F43:F44"/>
    <mergeCell ref="B41:B42"/>
    <mergeCell ref="C41:C42"/>
    <mergeCell ref="D41:D42"/>
    <mergeCell ref="E41:E42"/>
    <mergeCell ref="F41:F42"/>
    <mergeCell ref="B48:B49"/>
    <mergeCell ref="C48:C49"/>
    <mergeCell ref="D48:D49"/>
    <mergeCell ref="E48:E49"/>
    <mergeCell ref="F48:F49"/>
    <mergeCell ref="B46:B47"/>
    <mergeCell ref="C46:C47"/>
    <mergeCell ref="D46:D47"/>
    <mergeCell ref="E46:E47"/>
    <mergeCell ref="F46:F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05C2-8453-9B42-AF12-2A6819603FFE}">
  <dimension ref="A1:AQ64"/>
  <sheetViews>
    <sheetView topLeftCell="F27" workbookViewId="0">
      <selection activeCell="H64" sqref="H64:Z64"/>
    </sheetView>
  </sheetViews>
  <sheetFormatPr baseColWidth="10" defaultRowHeight="16" x14ac:dyDescent="0.2"/>
  <cols>
    <col min="1" max="1" width="18.6640625" customWidth="1"/>
    <col min="2" max="2" width="13" customWidth="1"/>
    <col min="3" max="3" width="14.5" style="35" bestFit="1" customWidth="1"/>
    <col min="4" max="4" width="11.6640625" bestFit="1" customWidth="1"/>
    <col min="5" max="5" width="17.1640625" customWidth="1"/>
    <col min="6" max="6" width="14" customWidth="1"/>
    <col min="8" max="31" width="10.83203125" customWidth="1"/>
  </cols>
  <sheetData>
    <row r="1" spans="1:43" ht="22" x14ac:dyDescent="0.3">
      <c r="A1" s="9" t="s">
        <v>50</v>
      </c>
      <c r="B1" s="9" t="s">
        <v>53</v>
      </c>
      <c r="C1" s="3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22" x14ac:dyDescent="0.3">
      <c r="A2" s="9"/>
      <c r="B2" s="10"/>
      <c r="C2" s="3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23" thickBot="1" x14ac:dyDescent="0.35">
      <c r="A3" s="9" t="s">
        <v>51</v>
      </c>
      <c r="B3" s="9"/>
      <c r="C3" s="34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51" x14ac:dyDescent="0.2">
      <c r="A4" s="11" t="s">
        <v>39</v>
      </c>
      <c r="B4" s="47" t="s">
        <v>0</v>
      </c>
      <c r="C4" s="49" t="s">
        <v>41</v>
      </c>
      <c r="D4" s="51" t="s">
        <v>1</v>
      </c>
      <c r="E4" s="53" t="s">
        <v>68</v>
      </c>
      <c r="F4" s="53" t="s">
        <v>45</v>
      </c>
      <c r="G4" s="55" t="s">
        <v>2</v>
      </c>
      <c r="H4" s="57" t="s">
        <v>40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9"/>
      <c r="AF4" s="12"/>
      <c r="AG4" s="63" t="s">
        <v>3</v>
      </c>
      <c r="AH4" s="65" t="s">
        <v>4</v>
      </c>
      <c r="AI4" s="67" t="s">
        <v>5</v>
      </c>
      <c r="AJ4" s="69" t="s">
        <v>6</v>
      </c>
      <c r="AK4" s="45" t="s">
        <v>7</v>
      </c>
      <c r="AL4" s="11" t="s">
        <v>38</v>
      </c>
      <c r="AM4" s="11" t="s">
        <v>33</v>
      </c>
      <c r="AN4" s="13" t="s">
        <v>34</v>
      </c>
      <c r="AO4" s="11" t="s">
        <v>35</v>
      </c>
      <c r="AP4" s="11" t="s">
        <v>36</v>
      </c>
      <c r="AQ4" s="13" t="s">
        <v>37</v>
      </c>
    </row>
    <row r="5" spans="1:43" ht="17" thickBot="1" x14ac:dyDescent="0.25">
      <c r="A5" s="13"/>
      <c r="B5" s="48"/>
      <c r="C5" s="50"/>
      <c r="D5" s="52"/>
      <c r="E5" s="54"/>
      <c r="F5" s="54"/>
      <c r="G5" s="56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2"/>
      <c r="AF5" s="14"/>
      <c r="AG5" s="64"/>
      <c r="AH5" s="66"/>
      <c r="AI5" s="68"/>
      <c r="AJ5" s="70"/>
      <c r="AK5" s="46"/>
      <c r="AL5" s="13"/>
      <c r="AM5" s="13"/>
      <c r="AN5" s="13"/>
      <c r="AO5" s="13"/>
      <c r="AP5" s="13"/>
      <c r="AQ5" s="13"/>
    </row>
    <row r="6" spans="1:43" ht="17" thickBot="1" x14ac:dyDescent="0.25">
      <c r="A6" s="13"/>
      <c r="B6" s="36"/>
      <c r="C6" s="42" t="s">
        <v>55</v>
      </c>
      <c r="D6" s="44" t="s">
        <v>42</v>
      </c>
      <c r="E6" s="44">
        <v>3</v>
      </c>
      <c r="F6" s="40">
        <f>SUM(H7:AE7)</f>
        <v>4</v>
      </c>
      <c r="G6" s="15"/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30</v>
      </c>
      <c r="AE6" s="1" t="s">
        <v>32</v>
      </c>
      <c r="AF6" s="17"/>
      <c r="AG6" s="18"/>
      <c r="AH6" s="30"/>
      <c r="AI6" s="31"/>
      <c r="AJ6" s="32"/>
      <c r="AK6" s="22"/>
      <c r="AL6" s="13"/>
      <c r="AM6" s="13"/>
      <c r="AN6" s="13"/>
      <c r="AO6" s="13"/>
      <c r="AP6" s="13"/>
      <c r="AQ6" s="13"/>
    </row>
    <row r="7" spans="1:43" ht="17" thickBot="1" x14ac:dyDescent="0.25">
      <c r="A7" s="13"/>
      <c r="B7" s="37"/>
      <c r="C7" s="43"/>
      <c r="D7" s="41"/>
      <c r="E7" s="41"/>
      <c r="F7" s="41"/>
      <c r="G7" s="23">
        <v>29</v>
      </c>
      <c r="H7">
        <v>1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F7" s="8"/>
      <c r="AG7" s="2">
        <f>AVERAGE(H7:AE7)</f>
        <v>0.22222222222222221</v>
      </c>
      <c r="AH7" s="3">
        <f>AG7*G7</f>
        <v>6.4444444444444438</v>
      </c>
      <c r="AI7" s="4">
        <v>1</v>
      </c>
      <c r="AJ7" s="4">
        <f>5.4*11.6/25</f>
        <v>2.5055999999999998</v>
      </c>
      <c r="AK7" s="5">
        <f>(AH7)*1000/AJ7*AI7</f>
        <v>2572.0164609053495</v>
      </c>
      <c r="AL7" s="7">
        <f>100*ABS(AH7-AH9)/AVERAGE(AH7,AH9)</f>
        <v>115.00000000000001</v>
      </c>
      <c r="AM7" s="6">
        <f>AVERAGE(AH7,AH9)</f>
        <v>15.163398692810457</v>
      </c>
      <c r="AN7" s="7" t="e">
        <f>AM7-#REF!</f>
        <v>#REF!</v>
      </c>
      <c r="AO7" s="7">
        <f>100*AM7/1500</f>
        <v>1.0108932461873636</v>
      </c>
      <c r="AP7" s="7" t="e">
        <f>100*AN7/1000</f>
        <v>#REF!</v>
      </c>
      <c r="AQ7" s="6" t="e">
        <f>AH7-#REF!</f>
        <v>#REF!</v>
      </c>
    </row>
    <row r="8" spans="1:43" ht="17" thickBot="1" x14ac:dyDescent="0.25">
      <c r="A8" s="13"/>
      <c r="B8" s="36" t="s">
        <v>54</v>
      </c>
      <c r="C8" s="38" t="s">
        <v>56</v>
      </c>
      <c r="D8" s="40" t="s">
        <v>43</v>
      </c>
      <c r="E8" s="40"/>
      <c r="F8" s="40">
        <f>SUM(H9:AE9)</f>
        <v>14</v>
      </c>
      <c r="G8" s="24"/>
      <c r="H8" s="25" t="s">
        <v>8</v>
      </c>
      <c r="I8" s="25" t="s">
        <v>9</v>
      </c>
      <c r="J8" s="25" t="s">
        <v>10</v>
      </c>
      <c r="K8" s="25" t="s">
        <v>11</v>
      </c>
      <c r="L8" s="25" t="s">
        <v>12</v>
      </c>
      <c r="M8" s="25" t="s">
        <v>13</v>
      </c>
      <c r="N8" s="25" t="s">
        <v>14</v>
      </c>
      <c r="O8" s="25" t="s">
        <v>15</v>
      </c>
      <c r="P8" s="25" t="s">
        <v>16</v>
      </c>
      <c r="Q8" s="25" t="s">
        <v>17</v>
      </c>
      <c r="R8" s="25" t="s">
        <v>18</v>
      </c>
      <c r="S8" s="25" t="s">
        <v>19</v>
      </c>
      <c r="T8" s="25" t="s">
        <v>20</v>
      </c>
      <c r="U8" s="25" t="s">
        <v>21</v>
      </c>
      <c r="V8" s="25" t="s">
        <v>22</v>
      </c>
      <c r="W8" s="25" t="s">
        <v>23</v>
      </c>
      <c r="X8" s="25" t="s">
        <v>24</v>
      </c>
      <c r="Y8" s="25" t="s">
        <v>25</v>
      </c>
      <c r="Z8" s="25" t="s">
        <v>26</v>
      </c>
      <c r="AA8" s="25" t="s">
        <v>27</v>
      </c>
      <c r="AB8" s="25" t="s">
        <v>28</v>
      </c>
      <c r="AC8" s="25" t="s">
        <v>29</v>
      </c>
      <c r="AD8" s="25" t="s">
        <v>30</v>
      </c>
      <c r="AE8" s="26" t="s">
        <v>31</v>
      </c>
      <c r="AF8" s="27"/>
      <c r="AG8" s="28"/>
      <c r="AH8" s="19"/>
      <c r="AI8" s="20"/>
      <c r="AJ8" s="21"/>
      <c r="AK8" s="22"/>
      <c r="AL8" s="13"/>
      <c r="AM8" s="13"/>
      <c r="AN8" s="13"/>
      <c r="AO8" s="13"/>
      <c r="AP8" s="13"/>
      <c r="AQ8" s="29"/>
    </row>
    <row r="9" spans="1:43" ht="17" thickBot="1" x14ac:dyDescent="0.25">
      <c r="A9" s="13"/>
      <c r="B9" s="37"/>
      <c r="C9" s="39"/>
      <c r="D9" s="41"/>
      <c r="E9" s="41"/>
      <c r="F9" s="41"/>
      <c r="G9" s="23">
        <v>29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3</v>
      </c>
      <c r="O9">
        <v>0</v>
      </c>
      <c r="P9">
        <v>0</v>
      </c>
      <c r="Q9">
        <v>2</v>
      </c>
      <c r="R9">
        <v>2</v>
      </c>
      <c r="S9">
        <v>0</v>
      </c>
      <c r="T9">
        <v>0</v>
      </c>
      <c r="U9">
        <v>1</v>
      </c>
      <c r="V9">
        <v>1</v>
      </c>
      <c r="W9">
        <v>2</v>
      </c>
      <c r="X9">
        <v>1</v>
      </c>
      <c r="AF9" s="10"/>
      <c r="AG9" s="2">
        <f>AVERAGE(H9:AE9)</f>
        <v>0.82352941176470584</v>
      </c>
      <c r="AH9" s="3">
        <f>AG9*G9</f>
        <v>23.882352941176471</v>
      </c>
      <c r="AI9" s="4">
        <v>1</v>
      </c>
      <c r="AJ9" s="4">
        <f>5.4*11.6/25</f>
        <v>2.5055999999999998</v>
      </c>
      <c r="AK9" s="5">
        <f>(AH9)*1000/AJ9*AI9</f>
        <v>9531.5904139433569</v>
      </c>
      <c r="AL9" s="7"/>
      <c r="AM9" s="6" t="e">
        <f>AVERAGE(AH9,#REF!)</f>
        <v>#REF!</v>
      </c>
      <c r="AN9" s="7" t="e">
        <f>AM9-#REF!</f>
        <v>#REF!</v>
      </c>
      <c r="AO9" s="7" t="e">
        <f>100*AM9/1500</f>
        <v>#REF!</v>
      </c>
      <c r="AP9" s="7" t="e">
        <f>100*AN9/1000</f>
        <v>#REF!</v>
      </c>
      <c r="AQ9" s="6" t="e">
        <f>AH9-#REF!</f>
        <v>#REF!</v>
      </c>
    </row>
    <row r="11" spans="1:43" ht="17" thickBot="1" x14ac:dyDescent="0.25">
      <c r="A11" s="13"/>
      <c r="B11" s="36"/>
      <c r="C11" s="42" t="s">
        <v>55</v>
      </c>
      <c r="D11" s="44" t="s">
        <v>42</v>
      </c>
      <c r="E11" s="44">
        <v>0</v>
      </c>
      <c r="F11" s="40">
        <f>SUM(H12:AE12)</f>
        <v>3</v>
      </c>
      <c r="G11" s="15"/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32</v>
      </c>
      <c r="AF11" s="17"/>
      <c r="AG11" s="18"/>
      <c r="AH11" s="30"/>
      <c r="AI11" s="31"/>
      <c r="AJ11" s="32"/>
      <c r="AK11" s="22"/>
      <c r="AL11" s="13"/>
      <c r="AM11" s="13"/>
      <c r="AN11" s="13"/>
      <c r="AO11" s="13"/>
      <c r="AP11" s="13"/>
      <c r="AQ11" s="13"/>
    </row>
    <row r="12" spans="1:43" ht="17" thickBot="1" x14ac:dyDescent="0.25">
      <c r="A12" s="13"/>
      <c r="B12" s="37"/>
      <c r="C12" s="43"/>
      <c r="D12" s="41"/>
      <c r="E12" s="41"/>
      <c r="F12" s="41"/>
      <c r="G12" s="23">
        <v>29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F12" s="8"/>
      <c r="AG12" s="2">
        <f>AVERAGE(H12:AE12)</f>
        <v>0.13636363636363635</v>
      </c>
      <c r="AH12" s="3">
        <f>AG12*G12</f>
        <v>3.9545454545454541</v>
      </c>
      <c r="AI12" s="4">
        <v>1</v>
      </c>
      <c r="AJ12" s="4">
        <f>5.4*11.6/25</f>
        <v>2.5055999999999998</v>
      </c>
      <c r="AK12" s="5">
        <f>(AH12)*1000/AJ12*AI12</f>
        <v>1578.2828282828282</v>
      </c>
      <c r="AL12" s="7">
        <f>100*ABS(AH12-AH14)/AVERAGE(AH12,AH14)</f>
        <v>84.210526315789494</v>
      </c>
      <c r="AM12" s="6">
        <f>AVERAGE(AH12,AH14)</f>
        <v>2.7828282828282824</v>
      </c>
      <c r="AN12" s="7" t="e">
        <f>AM12-#REF!</f>
        <v>#REF!</v>
      </c>
      <c r="AO12" s="7">
        <f>100*AM12/1500</f>
        <v>0.18552188552188548</v>
      </c>
      <c r="AP12" s="7" t="e">
        <f>100*AN12/1000</f>
        <v>#REF!</v>
      </c>
      <c r="AQ12" s="6" t="e">
        <f>AH12-#REF!</f>
        <v>#REF!</v>
      </c>
    </row>
    <row r="13" spans="1:43" ht="17" thickBot="1" x14ac:dyDescent="0.25">
      <c r="A13" s="13"/>
      <c r="B13" s="36" t="s">
        <v>54</v>
      </c>
      <c r="C13" s="38" t="s">
        <v>57</v>
      </c>
      <c r="D13" s="40" t="s">
        <v>43</v>
      </c>
      <c r="E13" s="40"/>
      <c r="F13" s="40">
        <f>SUM(H14:AE14)</f>
        <v>1</v>
      </c>
      <c r="G13" s="24"/>
      <c r="H13" s="25" t="s">
        <v>8</v>
      </c>
      <c r="I13" s="25" t="s">
        <v>9</v>
      </c>
      <c r="J13" s="25" t="s">
        <v>10</v>
      </c>
      <c r="K13" s="25" t="s">
        <v>11</v>
      </c>
      <c r="L13" s="25" t="s">
        <v>12</v>
      </c>
      <c r="M13" s="25" t="s">
        <v>13</v>
      </c>
      <c r="N13" s="25" t="s">
        <v>14</v>
      </c>
      <c r="O13" s="25" t="s">
        <v>15</v>
      </c>
      <c r="P13" s="25" t="s">
        <v>16</v>
      </c>
      <c r="Q13" s="25" t="s">
        <v>17</v>
      </c>
      <c r="R13" s="25" t="s">
        <v>18</v>
      </c>
      <c r="S13" s="25" t="s">
        <v>19</v>
      </c>
      <c r="T13" s="25" t="s">
        <v>20</v>
      </c>
      <c r="U13" s="25" t="s">
        <v>21</v>
      </c>
      <c r="V13" s="25" t="s">
        <v>22</v>
      </c>
      <c r="W13" s="25" t="s">
        <v>23</v>
      </c>
      <c r="X13" s="25" t="s">
        <v>24</v>
      </c>
      <c r="Y13" s="25" t="s">
        <v>25</v>
      </c>
      <c r="Z13" s="25" t="s">
        <v>26</v>
      </c>
      <c r="AA13" s="25" t="s">
        <v>27</v>
      </c>
      <c r="AB13" s="25" t="s">
        <v>28</v>
      </c>
      <c r="AC13" s="25" t="s">
        <v>29</v>
      </c>
      <c r="AD13" s="25" t="s">
        <v>30</v>
      </c>
      <c r="AE13" s="26" t="s">
        <v>31</v>
      </c>
      <c r="AF13" s="27"/>
      <c r="AG13" s="28"/>
      <c r="AH13" s="19"/>
      <c r="AI13" s="20"/>
      <c r="AJ13" s="21"/>
      <c r="AK13" s="22"/>
      <c r="AL13" s="13"/>
      <c r="AM13" s="13"/>
      <c r="AN13" s="13"/>
      <c r="AO13" s="13"/>
      <c r="AP13" s="13"/>
      <c r="AQ13" s="29"/>
    </row>
    <row r="14" spans="1:43" ht="17" thickBot="1" x14ac:dyDescent="0.25">
      <c r="A14" s="13"/>
      <c r="B14" s="37"/>
      <c r="C14" s="39"/>
      <c r="D14" s="41"/>
      <c r="E14" s="41"/>
      <c r="F14" s="41"/>
      <c r="G14" s="23">
        <v>29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 s="10"/>
      <c r="AG14" s="2">
        <f>AVERAGE(H14:AE14)</f>
        <v>5.5555555555555552E-2</v>
      </c>
      <c r="AH14" s="3">
        <f>AG14*G14</f>
        <v>1.6111111111111109</v>
      </c>
      <c r="AI14" s="4">
        <v>1</v>
      </c>
      <c r="AJ14" s="4">
        <f>5.4*11.6/25</f>
        <v>2.5055999999999998</v>
      </c>
      <c r="AK14" s="5">
        <f>(AH14)*1000/AJ14*AI14</f>
        <v>643.00411522633738</v>
      </c>
      <c r="AL14" s="7"/>
      <c r="AM14" s="6" t="e">
        <f>AVERAGE(AH14,#REF!)</f>
        <v>#REF!</v>
      </c>
      <c r="AN14" s="7" t="e">
        <f>AM14-#REF!</f>
        <v>#REF!</v>
      </c>
      <c r="AO14" s="7" t="e">
        <f>100*AM14/1500</f>
        <v>#REF!</v>
      </c>
      <c r="AP14" s="7" t="e">
        <f>100*AN14/1000</f>
        <v>#REF!</v>
      </c>
      <c r="AQ14" s="6" t="e">
        <f>AH14-#REF!</f>
        <v>#REF!</v>
      </c>
    </row>
    <row r="16" spans="1:43" ht="17" thickBot="1" x14ac:dyDescent="0.25">
      <c r="A16" s="13"/>
      <c r="B16" s="36"/>
      <c r="C16" s="38" t="s">
        <v>55</v>
      </c>
      <c r="D16" s="44" t="s">
        <v>42</v>
      </c>
      <c r="E16" s="44">
        <v>0</v>
      </c>
      <c r="F16" s="40">
        <f>SUM(H17:AE17)</f>
        <v>4</v>
      </c>
      <c r="G16" s="15"/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N16" s="1" t="s">
        <v>14</v>
      </c>
      <c r="O16" s="1" t="s">
        <v>15</v>
      </c>
      <c r="P16" s="1" t="s">
        <v>16</v>
      </c>
      <c r="Q16" s="1" t="s">
        <v>17</v>
      </c>
      <c r="R16" s="1" t="s">
        <v>18</v>
      </c>
      <c r="S16" s="1" t="s">
        <v>19</v>
      </c>
      <c r="T16" s="1" t="s">
        <v>20</v>
      </c>
      <c r="U16" s="1" t="s">
        <v>21</v>
      </c>
      <c r="V16" s="1" t="s">
        <v>22</v>
      </c>
      <c r="W16" s="1" t="s">
        <v>23</v>
      </c>
      <c r="X16" s="1" t="s">
        <v>24</v>
      </c>
      <c r="Y16" s="1" t="s">
        <v>25</v>
      </c>
      <c r="Z16" s="1" t="s">
        <v>26</v>
      </c>
      <c r="AA16" s="1" t="s">
        <v>27</v>
      </c>
      <c r="AB16" s="1" t="s">
        <v>28</v>
      </c>
      <c r="AC16" s="1" t="s">
        <v>29</v>
      </c>
      <c r="AD16" s="1" t="s">
        <v>30</v>
      </c>
      <c r="AE16" s="1" t="s">
        <v>32</v>
      </c>
      <c r="AF16" s="17"/>
      <c r="AG16" s="18"/>
      <c r="AH16" s="30"/>
      <c r="AI16" s="31"/>
      <c r="AJ16" s="32"/>
      <c r="AK16" s="22"/>
      <c r="AL16" s="13"/>
      <c r="AM16" s="13"/>
      <c r="AN16" s="13"/>
      <c r="AO16" s="13"/>
      <c r="AP16" s="13"/>
      <c r="AQ16" s="13"/>
    </row>
    <row r="17" spans="1:43" ht="17" thickBot="1" x14ac:dyDescent="0.25">
      <c r="A17" s="13"/>
      <c r="B17" s="37"/>
      <c r="C17" s="39"/>
      <c r="D17" s="41"/>
      <c r="E17" s="41"/>
      <c r="F17" s="41"/>
      <c r="G17" s="23">
        <v>29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AF17" s="8"/>
      <c r="AG17" s="2">
        <f>AVERAGE(H17:AE17)</f>
        <v>0.23529411764705882</v>
      </c>
      <c r="AH17" s="3">
        <f>AG17*G17</f>
        <v>6.8235294117647056</v>
      </c>
      <c r="AI17" s="4">
        <v>1</v>
      </c>
      <c r="AJ17" s="4">
        <f>5.4*11.6/25</f>
        <v>2.5055999999999998</v>
      </c>
      <c r="AK17" s="5">
        <f>(AH17)*1000/AJ17*AI17</f>
        <v>2723.3115468409587</v>
      </c>
      <c r="AL17" s="7">
        <f>100*ABS(AH17-AH19)/AVERAGE(AH17,AH19)</f>
        <v>84.745762711864401</v>
      </c>
      <c r="AM17" s="6">
        <f>AVERAGE(AH17,AH19)</f>
        <v>4.7927170868347337</v>
      </c>
      <c r="AN17" s="7" t="e">
        <f>AM17-#REF!</f>
        <v>#REF!</v>
      </c>
      <c r="AO17" s="7">
        <f>100*AM17/1500</f>
        <v>0.3195144724556489</v>
      </c>
      <c r="AP17" s="7" t="e">
        <f>100*AN17/1000</f>
        <v>#REF!</v>
      </c>
      <c r="AQ17" s="6" t="e">
        <f>AH17-#REF!</f>
        <v>#REF!</v>
      </c>
    </row>
    <row r="18" spans="1:43" ht="17" thickBot="1" x14ac:dyDescent="0.25">
      <c r="A18" s="13"/>
      <c r="B18" s="36" t="s">
        <v>54</v>
      </c>
      <c r="C18" s="38" t="s">
        <v>58</v>
      </c>
      <c r="D18" s="40" t="s">
        <v>43</v>
      </c>
      <c r="E18" s="40"/>
      <c r="F18" s="40">
        <f>SUM(H19:AE19)</f>
        <v>2</v>
      </c>
      <c r="G18" s="24"/>
      <c r="H18" s="25" t="s">
        <v>8</v>
      </c>
      <c r="I18" s="25" t="s">
        <v>9</v>
      </c>
      <c r="J18" s="25" t="s">
        <v>10</v>
      </c>
      <c r="K18" s="25" t="s">
        <v>11</v>
      </c>
      <c r="L18" s="25" t="s">
        <v>12</v>
      </c>
      <c r="M18" s="25" t="s">
        <v>13</v>
      </c>
      <c r="N18" s="25" t="s">
        <v>14</v>
      </c>
      <c r="O18" s="25" t="s">
        <v>15</v>
      </c>
      <c r="P18" s="25" t="s">
        <v>16</v>
      </c>
      <c r="Q18" s="25" t="s">
        <v>17</v>
      </c>
      <c r="R18" s="25" t="s">
        <v>18</v>
      </c>
      <c r="S18" s="25" t="s">
        <v>19</v>
      </c>
      <c r="T18" s="25" t="s">
        <v>20</v>
      </c>
      <c r="U18" s="25" t="s">
        <v>21</v>
      </c>
      <c r="V18" s="25" t="s">
        <v>22</v>
      </c>
      <c r="W18" s="25" t="s">
        <v>23</v>
      </c>
      <c r="X18" s="25" t="s">
        <v>24</v>
      </c>
      <c r="Y18" s="25" t="s">
        <v>25</v>
      </c>
      <c r="Z18" s="25" t="s">
        <v>26</v>
      </c>
      <c r="AA18" s="25" t="s">
        <v>27</v>
      </c>
      <c r="AB18" s="25" t="s">
        <v>28</v>
      </c>
      <c r="AC18" s="25" t="s">
        <v>29</v>
      </c>
      <c r="AD18" s="25" t="s">
        <v>30</v>
      </c>
      <c r="AE18" s="26" t="s">
        <v>31</v>
      </c>
      <c r="AF18" s="27"/>
      <c r="AG18" s="28"/>
      <c r="AH18" s="19"/>
      <c r="AI18" s="20"/>
      <c r="AJ18" s="21"/>
      <c r="AK18" s="22"/>
      <c r="AL18" s="13"/>
      <c r="AM18" s="13"/>
      <c r="AN18" s="13"/>
      <c r="AO18" s="13"/>
      <c r="AP18" s="13"/>
      <c r="AQ18" s="29"/>
    </row>
    <row r="19" spans="1:43" ht="17" thickBot="1" x14ac:dyDescent="0.25">
      <c r="A19" s="13"/>
      <c r="B19" s="37"/>
      <c r="C19" s="39"/>
      <c r="D19" s="41"/>
      <c r="E19" s="41"/>
      <c r="F19" s="41"/>
      <c r="G19" s="23">
        <v>29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F19" s="10"/>
      <c r="AG19" s="2">
        <f>AVERAGE(H19:AE19)</f>
        <v>9.5238095238095233E-2</v>
      </c>
      <c r="AH19" s="3">
        <f>AG19*G19</f>
        <v>2.7619047619047619</v>
      </c>
      <c r="AI19" s="4">
        <v>1</v>
      </c>
      <c r="AJ19" s="4">
        <f>5.4*11.6/25</f>
        <v>2.5055999999999998</v>
      </c>
      <c r="AK19" s="5">
        <f>(AH19)*1000/AJ19*AI19</f>
        <v>1102.2927689594358</v>
      </c>
      <c r="AL19" s="7"/>
      <c r="AM19" s="6" t="e">
        <f>AVERAGE(AH19,#REF!)</f>
        <v>#REF!</v>
      </c>
      <c r="AN19" s="7" t="e">
        <f>AM19-#REF!</f>
        <v>#REF!</v>
      </c>
      <c r="AO19" s="7" t="e">
        <f>100*AM19/1500</f>
        <v>#REF!</v>
      </c>
      <c r="AP19" s="7" t="e">
        <f>100*AN19/1000</f>
        <v>#REF!</v>
      </c>
      <c r="AQ19" s="6" t="e">
        <f>AH19-#REF!</f>
        <v>#REF!</v>
      </c>
    </row>
    <row r="21" spans="1:43" ht="17" thickBot="1" x14ac:dyDescent="0.25">
      <c r="A21" s="13"/>
      <c r="B21" s="36"/>
      <c r="C21" s="38" t="s">
        <v>55</v>
      </c>
      <c r="D21" s="44" t="s">
        <v>42</v>
      </c>
      <c r="E21" s="44"/>
      <c r="F21" s="40">
        <f>SUM(H22:AE22)</f>
        <v>3</v>
      </c>
      <c r="G21" s="15"/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  <c r="Q21" s="1" t="s">
        <v>17</v>
      </c>
      <c r="R21" s="1" t="s">
        <v>18</v>
      </c>
      <c r="S21" s="1" t="s">
        <v>19</v>
      </c>
      <c r="T21" s="1" t="s">
        <v>20</v>
      </c>
      <c r="U21" s="1" t="s">
        <v>21</v>
      </c>
      <c r="V21" s="1" t="s">
        <v>22</v>
      </c>
      <c r="W21" s="1" t="s">
        <v>23</v>
      </c>
      <c r="X21" s="1" t="s">
        <v>24</v>
      </c>
      <c r="Y21" s="1" t="s">
        <v>25</v>
      </c>
      <c r="Z21" s="1" t="s">
        <v>26</v>
      </c>
      <c r="AA21" s="1" t="s">
        <v>27</v>
      </c>
      <c r="AB21" s="1" t="s">
        <v>28</v>
      </c>
      <c r="AC21" s="1" t="s">
        <v>29</v>
      </c>
      <c r="AD21" s="1" t="s">
        <v>30</v>
      </c>
      <c r="AE21" s="1" t="s">
        <v>32</v>
      </c>
      <c r="AF21" s="17"/>
      <c r="AG21" s="18"/>
      <c r="AH21" s="30"/>
      <c r="AI21" s="31"/>
      <c r="AJ21" s="32"/>
      <c r="AK21" s="22"/>
      <c r="AL21" s="13"/>
      <c r="AM21" s="13"/>
      <c r="AN21" s="13"/>
      <c r="AO21" s="13"/>
      <c r="AP21" s="13"/>
      <c r="AQ21" s="13"/>
    </row>
    <row r="22" spans="1:43" ht="17" thickBot="1" x14ac:dyDescent="0.25">
      <c r="A22" s="13"/>
      <c r="B22" s="37"/>
      <c r="C22" s="39"/>
      <c r="D22" s="41"/>
      <c r="E22" s="41"/>
      <c r="F22" s="41"/>
      <c r="G22" s="23">
        <v>29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AF22" s="8"/>
      <c r="AG22" s="2">
        <f>AVERAGE(H22:AE22)</f>
        <v>0.25</v>
      </c>
      <c r="AH22" s="3">
        <f>AG22*G22</f>
        <v>7.25</v>
      </c>
      <c r="AI22" s="4">
        <v>1</v>
      </c>
      <c r="AJ22" s="4">
        <f>5.4*11.6/25</f>
        <v>2.5055999999999998</v>
      </c>
      <c r="AK22" s="5">
        <f>(AH22)*1000/AJ22*AI22</f>
        <v>2893.5185185185187</v>
      </c>
      <c r="AL22" s="7">
        <f>100*ABS(AH22-AH24)/AVERAGE(AH22,AH24)</f>
        <v>22.222222222222211</v>
      </c>
      <c r="AM22" s="6">
        <f>AVERAGE(AH22,AH24)</f>
        <v>6.5250000000000004</v>
      </c>
      <c r="AN22" s="7" t="e">
        <f>AM22-#REF!</f>
        <v>#REF!</v>
      </c>
      <c r="AO22" s="7">
        <f>100*AM22/1500</f>
        <v>0.435</v>
      </c>
      <c r="AP22" s="7" t="e">
        <f>100*AN22/1000</f>
        <v>#REF!</v>
      </c>
      <c r="AQ22" s="6" t="e">
        <f>AH22-#REF!</f>
        <v>#REF!</v>
      </c>
    </row>
    <row r="23" spans="1:43" ht="17" thickBot="1" x14ac:dyDescent="0.25">
      <c r="A23" s="13"/>
      <c r="B23" s="36" t="s">
        <v>54</v>
      </c>
      <c r="C23" s="38" t="s">
        <v>59</v>
      </c>
      <c r="D23" s="40" t="s">
        <v>43</v>
      </c>
      <c r="E23" s="40"/>
      <c r="F23" s="40">
        <f>SUM(H24:AE24)</f>
        <v>2</v>
      </c>
      <c r="G23" s="24"/>
      <c r="H23" s="25" t="s">
        <v>8</v>
      </c>
      <c r="I23" s="25" t="s">
        <v>9</v>
      </c>
      <c r="J23" s="25" t="s">
        <v>10</v>
      </c>
      <c r="K23" s="25" t="s">
        <v>11</v>
      </c>
      <c r="L23" s="25" t="s">
        <v>12</v>
      </c>
      <c r="M23" s="25" t="s">
        <v>13</v>
      </c>
      <c r="N23" s="25" t="s">
        <v>14</v>
      </c>
      <c r="O23" s="25" t="s">
        <v>15</v>
      </c>
      <c r="P23" s="25" t="s">
        <v>16</v>
      </c>
      <c r="Q23" s="25" t="s">
        <v>17</v>
      </c>
      <c r="R23" s="25" t="s">
        <v>18</v>
      </c>
      <c r="S23" s="25" t="s">
        <v>19</v>
      </c>
      <c r="T23" s="25" t="s">
        <v>20</v>
      </c>
      <c r="U23" s="25" t="s">
        <v>21</v>
      </c>
      <c r="V23" s="25" t="s">
        <v>22</v>
      </c>
      <c r="W23" s="25" t="s">
        <v>23</v>
      </c>
      <c r="X23" s="25" t="s">
        <v>24</v>
      </c>
      <c r="Y23" s="25" t="s">
        <v>25</v>
      </c>
      <c r="Z23" s="25" t="s">
        <v>26</v>
      </c>
      <c r="AA23" s="25" t="s">
        <v>27</v>
      </c>
      <c r="AB23" s="25" t="s">
        <v>28</v>
      </c>
      <c r="AC23" s="25" t="s">
        <v>29</v>
      </c>
      <c r="AD23" s="25" t="s">
        <v>30</v>
      </c>
      <c r="AE23" s="26" t="s">
        <v>31</v>
      </c>
      <c r="AF23" s="27"/>
      <c r="AG23" s="28"/>
      <c r="AH23" s="19"/>
      <c r="AI23" s="20"/>
      <c r="AJ23" s="21"/>
      <c r="AK23" s="22"/>
      <c r="AL23" s="13"/>
      <c r="AM23" s="13"/>
      <c r="AN23" s="13"/>
      <c r="AO23" s="13"/>
      <c r="AP23" s="13"/>
      <c r="AQ23" s="29"/>
    </row>
    <row r="24" spans="1:43" ht="17" thickBot="1" x14ac:dyDescent="0.25">
      <c r="A24" s="13"/>
      <c r="B24" s="37"/>
      <c r="C24" s="39"/>
      <c r="D24" s="41"/>
      <c r="E24" s="41"/>
      <c r="F24" s="41"/>
      <c r="G24" s="23">
        <v>29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AF24" s="10"/>
      <c r="AG24" s="2">
        <f>AVERAGE(H24:AE24)</f>
        <v>0.2</v>
      </c>
      <c r="AH24" s="3">
        <f>AG24*G24</f>
        <v>5.8000000000000007</v>
      </c>
      <c r="AI24" s="4">
        <v>1</v>
      </c>
      <c r="AJ24" s="4">
        <f>5.4*11.6/25</f>
        <v>2.5055999999999998</v>
      </c>
      <c r="AK24" s="5">
        <f>(AH24)*1000/AJ24*AI24</f>
        <v>2314.8148148148152</v>
      </c>
      <c r="AL24" s="7"/>
      <c r="AM24" s="6" t="e">
        <f>AVERAGE(AH24,#REF!)</f>
        <v>#REF!</v>
      </c>
      <c r="AN24" s="7" t="e">
        <f>AM24-#REF!</f>
        <v>#REF!</v>
      </c>
      <c r="AO24" s="7" t="e">
        <f>100*AM24/1500</f>
        <v>#REF!</v>
      </c>
      <c r="AP24" s="7" t="e">
        <f>100*AN24/1000</f>
        <v>#REF!</v>
      </c>
      <c r="AQ24" s="6" t="e">
        <f>AH24-#REF!</f>
        <v>#REF!</v>
      </c>
    </row>
    <row r="26" spans="1:43" ht="17" thickBot="1" x14ac:dyDescent="0.25">
      <c r="A26" s="13"/>
      <c r="B26" s="36"/>
      <c r="C26" s="38" t="s">
        <v>55</v>
      </c>
      <c r="D26" s="44" t="s">
        <v>42</v>
      </c>
      <c r="E26" s="44"/>
      <c r="F26" s="40">
        <f>SUM(H27:AE27)</f>
        <v>7</v>
      </c>
      <c r="G26" s="15"/>
      <c r="H26" s="1" t="s">
        <v>8</v>
      </c>
      <c r="I26" s="1" t="s">
        <v>9</v>
      </c>
      <c r="J26" s="1" t="s">
        <v>10</v>
      </c>
      <c r="K26" s="1" t="s">
        <v>11</v>
      </c>
      <c r="L26" s="1" t="s">
        <v>12</v>
      </c>
      <c r="M26" s="1" t="s">
        <v>13</v>
      </c>
      <c r="N26" s="1" t="s">
        <v>14</v>
      </c>
      <c r="O26" s="1" t="s">
        <v>15</v>
      </c>
      <c r="P26" s="1" t="s">
        <v>16</v>
      </c>
      <c r="Q26" s="1" t="s">
        <v>17</v>
      </c>
      <c r="R26" s="1" t="s">
        <v>18</v>
      </c>
      <c r="S26" s="1" t="s">
        <v>19</v>
      </c>
      <c r="T26" s="1" t="s">
        <v>20</v>
      </c>
      <c r="U26" s="1" t="s">
        <v>21</v>
      </c>
      <c r="V26" s="1" t="s">
        <v>22</v>
      </c>
      <c r="W26" s="1" t="s">
        <v>23</v>
      </c>
      <c r="X26" s="1" t="s">
        <v>24</v>
      </c>
      <c r="Y26" s="1" t="s">
        <v>25</v>
      </c>
      <c r="Z26" s="1" t="s">
        <v>26</v>
      </c>
      <c r="AA26" s="1" t="s">
        <v>27</v>
      </c>
      <c r="AB26" s="1" t="s">
        <v>28</v>
      </c>
      <c r="AC26" s="1" t="s">
        <v>29</v>
      </c>
      <c r="AD26" s="1" t="s">
        <v>30</v>
      </c>
      <c r="AE26" s="1" t="s">
        <v>32</v>
      </c>
      <c r="AF26" s="17"/>
      <c r="AG26" s="18"/>
      <c r="AH26" s="30"/>
      <c r="AI26" s="31"/>
      <c r="AJ26" s="32"/>
      <c r="AK26" s="22"/>
      <c r="AL26" s="13"/>
      <c r="AM26" s="13"/>
      <c r="AN26" s="13"/>
      <c r="AO26" s="13"/>
      <c r="AP26" s="13"/>
      <c r="AQ26" s="13"/>
    </row>
    <row r="27" spans="1:43" ht="17" thickBot="1" x14ac:dyDescent="0.25">
      <c r="A27" s="13"/>
      <c r="B27" s="37"/>
      <c r="C27" s="39"/>
      <c r="D27" s="41"/>
      <c r="E27" s="41"/>
      <c r="F27" s="41"/>
      <c r="G27" s="23">
        <v>29</v>
      </c>
      <c r="H27">
        <v>3</v>
      </c>
      <c r="I27">
        <v>2</v>
      </c>
      <c r="J27">
        <v>2</v>
      </c>
      <c r="K27">
        <v>0</v>
      </c>
      <c r="L27">
        <v>0</v>
      </c>
      <c r="M27">
        <v>0</v>
      </c>
      <c r="AF27" s="8"/>
      <c r="AG27" s="2">
        <f>AVERAGE(H27:AE27)</f>
        <v>1.1666666666666667</v>
      </c>
      <c r="AH27" s="3">
        <f>AG27*G27</f>
        <v>33.833333333333336</v>
      </c>
      <c r="AI27" s="4">
        <v>1</v>
      </c>
      <c r="AJ27" s="4">
        <f>5.4*11.6/25</f>
        <v>2.5055999999999998</v>
      </c>
      <c r="AK27" s="5">
        <f>(AH27)*1000/AJ27*AI27</f>
        <v>13503.086419753088</v>
      </c>
      <c r="AL27" s="7">
        <f>100*ABS(AH27-AH29)/AVERAGE(AH27,AH29)</f>
        <v>168.42105263157899</v>
      </c>
      <c r="AM27" s="6">
        <f>AVERAGE(AH27,AH29)</f>
        <v>18.366666666666667</v>
      </c>
      <c r="AN27" s="7" t="e">
        <f>AM27-#REF!</f>
        <v>#REF!</v>
      </c>
      <c r="AO27" s="7">
        <f>100*AM27/1500</f>
        <v>1.2244444444444444</v>
      </c>
      <c r="AP27" s="7" t="e">
        <f>100*AN27/1000</f>
        <v>#REF!</v>
      </c>
      <c r="AQ27" s="6" t="e">
        <f>AH27-#REF!</f>
        <v>#REF!</v>
      </c>
    </row>
    <row r="28" spans="1:43" ht="17" thickBot="1" x14ac:dyDescent="0.25">
      <c r="A28" s="13"/>
      <c r="B28" s="36" t="s">
        <v>54</v>
      </c>
      <c r="C28" s="38" t="s">
        <v>60</v>
      </c>
      <c r="D28" s="40" t="s">
        <v>43</v>
      </c>
      <c r="E28" s="40"/>
      <c r="F28" s="40">
        <f>SUM(H29:AE29)</f>
        <v>1</v>
      </c>
      <c r="G28" s="24"/>
      <c r="H28" s="25" t="s">
        <v>8</v>
      </c>
      <c r="I28" s="25" t="s">
        <v>9</v>
      </c>
      <c r="J28" s="25" t="s">
        <v>10</v>
      </c>
      <c r="K28" s="25" t="s">
        <v>11</v>
      </c>
      <c r="L28" s="25" t="s">
        <v>12</v>
      </c>
      <c r="M28" s="25" t="s">
        <v>13</v>
      </c>
      <c r="N28" s="25" t="s">
        <v>14</v>
      </c>
      <c r="O28" s="25" t="s">
        <v>15</v>
      </c>
      <c r="P28" s="25" t="s">
        <v>16</v>
      </c>
      <c r="Q28" s="25" t="s">
        <v>17</v>
      </c>
      <c r="R28" s="25" t="s">
        <v>18</v>
      </c>
      <c r="S28" s="25" t="s">
        <v>19</v>
      </c>
      <c r="T28" s="25" t="s">
        <v>20</v>
      </c>
      <c r="U28" s="25" t="s">
        <v>21</v>
      </c>
      <c r="V28" s="25" t="s">
        <v>22</v>
      </c>
      <c r="W28" s="25" t="s">
        <v>23</v>
      </c>
      <c r="X28" s="25" t="s">
        <v>24</v>
      </c>
      <c r="Y28" s="25" t="s">
        <v>25</v>
      </c>
      <c r="Z28" s="25" t="s">
        <v>26</v>
      </c>
      <c r="AA28" s="25" t="s">
        <v>27</v>
      </c>
      <c r="AB28" s="25" t="s">
        <v>28</v>
      </c>
      <c r="AC28" s="25" t="s">
        <v>29</v>
      </c>
      <c r="AD28" s="25" t="s">
        <v>30</v>
      </c>
      <c r="AE28" s="26" t="s">
        <v>31</v>
      </c>
      <c r="AF28" s="27"/>
      <c r="AG28" s="28"/>
      <c r="AH28" s="19"/>
      <c r="AI28" s="20"/>
      <c r="AJ28" s="21"/>
      <c r="AK28" s="22"/>
      <c r="AL28" s="13"/>
      <c r="AM28" s="13"/>
      <c r="AN28" s="13"/>
      <c r="AO28" s="13"/>
      <c r="AP28" s="13"/>
      <c r="AQ28" s="29"/>
    </row>
    <row r="29" spans="1:43" ht="17" thickBot="1" x14ac:dyDescent="0.25">
      <c r="A29" s="13"/>
      <c r="B29" s="37"/>
      <c r="C29" s="39"/>
      <c r="D29" s="41"/>
      <c r="E29" s="41"/>
      <c r="F29" s="41"/>
      <c r="G29" s="23">
        <v>29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AF29" s="10"/>
      <c r="AG29" s="2">
        <f>AVERAGE(H29:AE29)</f>
        <v>0.1</v>
      </c>
      <c r="AH29" s="3">
        <f>AG29*G29</f>
        <v>2.9000000000000004</v>
      </c>
      <c r="AI29" s="4">
        <v>1</v>
      </c>
      <c r="AJ29" s="4">
        <f>5.4*11.6/25</f>
        <v>2.5055999999999998</v>
      </c>
      <c r="AK29" s="5">
        <f>(AH29)*1000/AJ29*AI29</f>
        <v>1157.4074074074076</v>
      </c>
      <c r="AL29" s="7"/>
      <c r="AM29" s="6" t="e">
        <f>AVERAGE(AH29,#REF!)</f>
        <v>#REF!</v>
      </c>
      <c r="AN29" s="7" t="e">
        <f>AM29-#REF!</f>
        <v>#REF!</v>
      </c>
      <c r="AO29" s="7" t="e">
        <f>100*AM29/1500</f>
        <v>#REF!</v>
      </c>
      <c r="AP29" s="7" t="e">
        <f>100*AN29/1000</f>
        <v>#REF!</v>
      </c>
      <c r="AQ29" s="6" t="e">
        <f>AH29-#REF!</f>
        <v>#REF!</v>
      </c>
    </row>
    <row r="31" spans="1:43" ht="17" thickBot="1" x14ac:dyDescent="0.25">
      <c r="A31" s="13"/>
      <c r="B31" s="36"/>
      <c r="C31" s="38" t="s">
        <v>55</v>
      </c>
      <c r="D31" s="44" t="s">
        <v>42</v>
      </c>
      <c r="E31" s="44"/>
      <c r="F31" s="40">
        <f>SUM(H32:AE32)</f>
        <v>8</v>
      </c>
      <c r="G31" s="15"/>
      <c r="H31" s="1" t="s">
        <v>8</v>
      </c>
      <c r="I31" s="1" t="s">
        <v>9</v>
      </c>
      <c r="J31" s="1" t="s">
        <v>10</v>
      </c>
      <c r="K31" s="1" t="s">
        <v>11</v>
      </c>
      <c r="L31" s="1" t="s">
        <v>12</v>
      </c>
      <c r="M31" s="1" t="s">
        <v>13</v>
      </c>
      <c r="N31" s="1" t="s">
        <v>14</v>
      </c>
      <c r="O31" s="1" t="s">
        <v>15</v>
      </c>
      <c r="P31" s="1" t="s">
        <v>16</v>
      </c>
      <c r="Q31" s="1" t="s">
        <v>17</v>
      </c>
      <c r="R31" s="1" t="s">
        <v>18</v>
      </c>
      <c r="S31" s="1" t="s">
        <v>19</v>
      </c>
      <c r="T31" s="1" t="s">
        <v>20</v>
      </c>
      <c r="U31" s="1" t="s">
        <v>21</v>
      </c>
      <c r="V31" s="1" t="s">
        <v>22</v>
      </c>
      <c r="W31" s="1" t="s">
        <v>23</v>
      </c>
      <c r="X31" s="1" t="s">
        <v>24</v>
      </c>
      <c r="Y31" s="1" t="s">
        <v>25</v>
      </c>
      <c r="Z31" s="1" t="s">
        <v>26</v>
      </c>
      <c r="AA31" s="1" t="s">
        <v>27</v>
      </c>
      <c r="AB31" s="1" t="s">
        <v>28</v>
      </c>
      <c r="AC31" s="1" t="s">
        <v>29</v>
      </c>
      <c r="AD31" s="1" t="s">
        <v>30</v>
      </c>
      <c r="AE31" s="1" t="s">
        <v>32</v>
      </c>
      <c r="AF31" s="17"/>
      <c r="AG31" s="18"/>
      <c r="AH31" s="30"/>
      <c r="AI31" s="31"/>
      <c r="AJ31" s="32"/>
      <c r="AK31" s="22"/>
      <c r="AL31" s="13"/>
      <c r="AM31" s="13"/>
      <c r="AN31" s="13"/>
      <c r="AO31" s="13"/>
      <c r="AP31" s="13"/>
      <c r="AQ31" s="13"/>
    </row>
    <row r="32" spans="1:43" ht="17" thickBot="1" x14ac:dyDescent="0.25">
      <c r="A32" s="13"/>
      <c r="B32" s="37"/>
      <c r="C32" s="39"/>
      <c r="D32" s="41"/>
      <c r="E32" s="41"/>
      <c r="F32" s="41"/>
      <c r="G32" s="23">
        <v>29</v>
      </c>
      <c r="H32">
        <v>6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AF32" s="8"/>
      <c r="AG32" s="2">
        <f>AVERAGE(H32:AE32)</f>
        <v>1</v>
      </c>
      <c r="AH32" s="3">
        <f>AG32*G32</f>
        <v>29</v>
      </c>
      <c r="AI32" s="4">
        <v>1</v>
      </c>
      <c r="AJ32" s="4">
        <f>5.4*11.6/25</f>
        <v>2.5055999999999998</v>
      </c>
      <c r="AK32" s="5">
        <f>(AH32)*1000/AJ32*AI32</f>
        <v>11574.074074074075</v>
      </c>
      <c r="AL32" s="7">
        <f>100*ABS(AH32-AH34)/AVERAGE(AH32,AH34)</f>
        <v>76.923076923076934</v>
      </c>
      <c r="AM32" s="6">
        <f>AVERAGE(AH32,AH34)</f>
        <v>20.944444444444443</v>
      </c>
      <c r="AN32" s="7" t="e">
        <f>AM32-#REF!</f>
        <v>#REF!</v>
      </c>
      <c r="AO32" s="7">
        <f>100*AM32/1500</f>
        <v>1.3962962962962961</v>
      </c>
      <c r="AP32" s="7" t="e">
        <f>100*AN32/1000</f>
        <v>#REF!</v>
      </c>
      <c r="AQ32" s="6" t="e">
        <f>AH32-#REF!</f>
        <v>#REF!</v>
      </c>
    </row>
    <row r="33" spans="1:43" ht="17" thickBot="1" x14ac:dyDescent="0.25">
      <c r="A33" s="13"/>
      <c r="B33" s="36" t="s">
        <v>54</v>
      </c>
      <c r="C33" s="38" t="s">
        <v>61</v>
      </c>
      <c r="D33" s="40" t="s">
        <v>43</v>
      </c>
      <c r="E33" s="40"/>
      <c r="F33" s="40">
        <f>SUM(H34:AE34)</f>
        <v>4</v>
      </c>
      <c r="G33" s="24"/>
      <c r="H33" s="25" t="s">
        <v>8</v>
      </c>
      <c r="I33" s="25" t="s">
        <v>9</v>
      </c>
      <c r="J33" s="25" t="s">
        <v>10</v>
      </c>
      <c r="K33" s="25" t="s">
        <v>11</v>
      </c>
      <c r="L33" s="25" t="s">
        <v>12</v>
      </c>
      <c r="M33" s="25" t="s">
        <v>13</v>
      </c>
      <c r="N33" s="25" t="s">
        <v>14</v>
      </c>
      <c r="O33" s="25" t="s">
        <v>15</v>
      </c>
      <c r="P33" s="25" t="s">
        <v>16</v>
      </c>
      <c r="Q33" s="25" t="s">
        <v>17</v>
      </c>
      <c r="R33" s="25" t="s">
        <v>18</v>
      </c>
      <c r="S33" s="25" t="s">
        <v>19</v>
      </c>
      <c r="T33" s="25" t="s">
        <v>20</v>
      </c>
      <c r="U33" s="25" t="s">
        <v>21</v>
      </c>
      <c r="V33" s="25" t="s">
        <v>22</v>
      </c>
      <c r="W33" s="25" t="s">
        <v>23</v>
      </c>
      <c r="X33" s="25" t="s">
        <v>24</v>
      </c>
      <c r="Y33" s="25" t="s">
        <v>25</v>
      </c>
      <c r="Z33" s="25" t="s">
        <v>26</v>
      </c>
      <c r="AA33" s="25" t="s">
        <v>27</v>
      </c>
      <c r="AB33" s="25" t="s">
        <v>28</v>
      </c>
      <c r="AC33" s="25" t="s">
        <v>29</v>
      </c>
      <c r="AD33" s="25" t="s">
        <v>30</v>
      </c>
      <c r="AE33" s="26" t="s">
        <v>31</v>
      </c>
      <c r="AF33" s="27"/>
      <c r="AG33" s="28"/>
      <c r="AH33" s="19"/>
      <c r="AI33" s="20"/>
      <c r="AJ33" s="21"/>
      <c r="AK33" s="22"/>
      <c r="AL33" s="13"/>
      <c r="AM33" s="13"/>
      <c r="AN33" s="13"/>
      <c r="AO33" s="13"/>
      <c r="AP33" s="13"/>
      <c r="AQ33" s="29"/>
    </row>
    <row r="34" spans="1:43" ht="17" thickBot="1" x14ac:dyDescent="0.25">
      <c r="A34" s="13"/>
      <c r="B34" s="37"/>
      <c r="C34" s="39"/>
      <c r="D34" s="41"/>
      <c r="E34" s="41"/>
      <c r="F34" s="41"/>
      <c r="G34" s="23">
        <v>29</v>
      </c>
      <c r="H34">
        <v>0</v>
      </c>
      <c r="I34">
        <v>1</v>
      </c>
      <c r="J34">
        <v>0</v>
      </c>
      <c r="K34">
        <v>2</v>
      </c>
      <c r="L34">
        <v>0</v>
      </c>
      <c r="M34">
        <v>1</v>
      </c>
      <c r="N34">
        <v>0</v>
      </c>
      <c r="O34">
        <v>0</v>
      </c>
      <c r="P34">
        <v>0</v>
      </c>
      <c r="AF34" s="10"/>
      <c r="AG34" s="2">
        <f>AVERAGE(H34:AE34)</f>
        <v>0.44444444444444442</v>
      </c>
      <c r="AH34" s="3">
        <f>AG34*G34</f>
        <v>12.888888888888888</v>
      </c>
      <c r="AI34" s="4">
        <v>1</v>
      </c>
      <c r="AJ34" s="4">
        <f>5.4*11.6/25</f>
        <v>2.5055999999999998</v>
      </c>
      <c r="AK34" s="5">
        <f>(AH34)*1000/AJ34*AI34</f>
        <v>5144.032921810699</v>
      </c>
      <c r="AL34" s="7"/>
      <c r="AM34" s="6" t="e">
        <f>AVERAGE(AH34,#REF!)</f>
        <v>#REF!</v>
      </c>
      <c r="AN34" s="7" t="e">
        <f>AM34-#REF!</f>
        <v>#REF!</v>
      </c>
      <c r="AO34" s="7" t="e">
        <f>100*AM34/1500</f>
        <v>#REF!</v>
      </c>
      <c r="AP34" s="7" t="e">
        <f>100*AN34/1000</f>
        <v>#REF!</v>
      </c>
      <c r="AQ34" s="6" t="e">
        <f>AH34-#REF!</f>
        <v>#REF!</v>
      </c>
    </row>
    <row r="36" spans="1:43" ht="17" thickBot="1" x14ac:dyDescent="0.25">
      <c r="A36" s="13"/>
      <c r="B36" s="36"/>
      <c r="C36" s="38" t="s">
        <v>55</v>
      </c>
      <c r="D36" s="44" t="s">
        <v>42</v>
      </c>
      <c r="E36" s="44">
        <v>1</v>
      </c>
      <c r="F36" s="40">
        <f>SUM(H37:AE37)</f>
        <v>7</v>
      </c>
      <c r="G36" s="15"/>
      <c r="H36" s="1" t="s">
        <v>8</v>
      </c>
      <c r="I36" s="1" t="s">
        <v>9</v>
      </c>
      <c r="J36" s="1" t="s">
        <v>10</v>
      </c>
      <c r="K36" s="1" t="s">
        <v>11</v>
      </c>
      <c r="L36" s="1" t="s">
        <v>12</v>
      </c>
      <c r="M36" s="1" t="s">
        <v>13</v>
      </c>
      <c r="N36" s="1" t="s">
        <v>14</v>
      </c>
      <c r="O36" s="1" t="s">
        <v>15</v>
      </c>
      <c r="P36" s="1" t="s">
        <v>16</v>
      </c>
      <c r="Q36" s="1" t="s">
        <v>17</v>
      </c>
      <c r="R36" s="1" t="s">
        <v>18</v>
      </c>
      <c r="S36" s="1" t="s">
        <v>19</v>
      </c>
      <c r="T36" s="1" t="s">
        <v>20</v>
      </c>
      <c r="U36" s="1" t="s">
        <v>21</v>
      </c>
      <c r="V36" s="1" t="s">
        <v>22</v>
      </c>
      <c r="W36" s="1" t="s">
        <v>23</v>
      </c>
      <c r="X36" s="1" t="s">
        <v>24</v>
      </c>
      <c r="Y36" s="1" t="s">
        <v>25</v>
      </c>
      <c r="Z36" s="1" t="s">
        <v>26</v>
      </c>
      <c r="AA36" s="1" t="s">
        <v>27</v>
      </c>
      <c r="AB36" s="1" t="s">
        <v>28</v>
      </c>
      <c r="AC36" s="1" t="s">
        <v>29</v>
      </c>
      <c r="AD36" s="1" t="s">
        <v>30</v>
      </c>
      <c r="AE36" s="1" t="s">
        <v>32</v>
      </c>
      <c r="AF36" s="17"/>
      <c r="AG36" s="18"/>
      <c r="AH36" s="30"/>
      <c r="AI36" s="31"/>
      <c r="AJ36" s="32"/>
      <c r="AK36" s="22"/>
      <c r="AL36" s="13"/>
      <c r="AM36" s="13"/>
      <c r="AN36" s="13"/>
      <c r="AO36" s="13"/>
      <c r="AP36" s="13"/>
      <c r="AQ36" s="13"/>
    </row>
    <row r="37" spans="1:43" ht="17" thickBot="1" x14ac:dyDescent="0.25">
      <c r="A37" s="13"/>
      <c r="B37" s="37"/>
      <c r="C37" s="39"/>
      <c r="D37" s="41"/>
      <c r="E37" s="41"/>
      <c r="F37" s="41"/>
      <c r="G37" s="23">
        <v>29</v>
      </c>
      <c r="H37">
        <v>1</v>
      </c>
      <c r="I37">
        <v>1</v>
      </c>
      <c r="J37">
        <v>1</v>
      </c>
      <c r="K37">
        <v>2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AF37" s="8"/>
      <c r="AG37" s="2">
        <f>AVERAGE(H37:AE37)</f>
        <v>0.5</v>
      </c>
      <c r="AH37" s="3">
        <f>AG37*G37</f>
        <v>14.5</v>
      </c>
      <c r="AI37" s="4">
        <v>1</v>
      </c>
      <c r="AJ37" s="4">
        <f>5.4*11.6/25</f>
        <v>2.5055999999999998</v>
      </c>
      <c r="AK37" s="5">
        <f>(AH37)*1000/AJ37*AI37</f>
        <v>5787.0370370370374</v>
      </c>
      <c r="AL37" s="7">
        <f>100*ABS(AH37-AH39)/AVERAGE(AH37,AH39)</f>
        <v>33.333333333333321</v>
      </c>
      <c r="AM37" s="6">
        <f>AVERAGE(AH37,AH39)</f>
        <v>17.399999999999999</v>
      </c>
      <c r="AN37" s="7" t="e">
        <f>AM37-#REF!</f>
        <v>#REF!</v>
      </c>
      <c r="AO37" s="7">
        <f>100*AM37/1500</f>
        <v>1.1599999999999999</v>
      </c>
      <c r="AP37" s="7" t="e">
        <f>100*AN37/1000</f>
        <v>#REF!</v>
      </c>
      <c r="AQ37" s="6" t="e">
        <f>AH37-#REF!</f>
        <v>#REF!</v>
      </c>
    </row>
    <row r="38" spans="1:43" ht="17" thickBot="1" x14ac:dyDescent="0.25">
      <c r="A38" s="13"/>
      <c r="B38" s="36" t="s">
        <v>54</v>
      </c>
      <c r="C38" s="38" t="s">
        <v>62</v>
      </c>
      <c r="D38" s="40" t="s">
        <v>43</v>
      </c>
      <c r="E38" s="40"/>
      <c r="F38" s="40">
        <f>SUM(H39:AE39)</f>
        <v>7</v>
      </c>
      <c r="G38" s="24"/>
      <c r="H38" s="25" t="s">
        <v>8</v>
      </c>
      <c r="I38" s="25" t="s">
        <v>9</v>
      </c>
      <c r="J38" s="25" t="s">
        <v>10</v>
      </c>
      <c r="K38" s="25" t="s">
        <v>11</v>
      </c>
      <c r="L38" s="25" t="s">
        <v>12</v>
      </c>
      <c r="M38" s="25" t="s">
        <v>13</v>
      </c>
      <c r="N38" s="25" t="s">
        <v>14</v>
      </c>
      <c r="O38" s="25" t="s">
        <v>15</v>
      </c>
      <c r="P38" s="25" t="s">
        <v>16</v>
      </c>
      <c r="Q38" s="25" t="s">
        <v>17</v>
      </c>
      <c r="R38" s="25" t="s">
        <v>18</v>
      </c>
      <c r="S38" s="25" t="s">
        <v>19</v>
      </c>
      <c r="T38" s="25" t="s">
        <v>20</v>
      </c>
      <c r="U38" s="25" t="s">
        <v>21</v>
      </c>
      <c r="V38" s="25" t="s">
        <v>22</v>
      </c>
      <c r="W38" s="25" t="s">
        <v>23</v>
      </c>
      <c r="X38" s="25" t="s">
        <v>24</v>
      </c>
      <c r="Y38" s="25" t="s">
        <v>25</v>
      </c>
      <c r="Z38" s="25" t="s">
        <v>26</v>
      </c>
      <c r="AA38" s="25" t="s">
        <v>27</v>
      </c>
      <c r="AB38" s="25" t="s">
        <v>28</v>
      </c>
      <c r="AC38" s="25" t="s">
        <v>29</v>
      </c>
      <c r="AD38" s="25" t="s">
        <v>30</v>
      </c>
      <c r="AE38" s="26" t="s">
        <v>31</v>
      </c>
      <c r="AF38" s="27"/>
      <c r="AG38" s="28"/>
      <c r="AH38" s="19"/>
      <c r="AI38" s="20"/>
      <c r="AJ38" s="21"/>
      <c r="AK38" s="22"/>
      <c r="AL38" s="13"/>
      <c r="AM38" s="13"/>
      <c r="AN38" s="13"/>
      <c r="AO38" s="13"/>
      <c r="AP38" s="13"/>
      <c r="AQ38" s="29"/>
    </row>
    <row r="39" spans="1:43" ht="17" thickBot="1" x14ac:dyDescent="0.25">
      <c r="A39" s="13"/>
      <c r="B39" s="37"/>
      <c r="C39" s="39"/>
      <c r="D39" s="41"/>
      <c r="E39" s="41"/>
      <c r="F39" s="41"/>
      <c r="G39" s="23">
        <v>29</v>
      </c>
      <c r="H39">
        <v>1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2</v>
      </c>
      <c r="Q39">
        <v>2</v>
      </c>
      <c r="AF39" s="10"/>
      <c r="AG39" s="2">
        <f>AVERAGE(H39:AE39)</f>
        <v>0.7</v>
      </c>
      <c r="AH39" s="3">
        <f>AG39*G39</f>
        <v>20.299999999999997</v>
      </c>
      <c r="AI39" s="4">
        <v>1</v>
      </c>
      <c r="AJ39" s="4">
        <f>5.4*11.6/25</f>
        <v>2.5055999999999998</v>
      </c>
      <c r="AK39" s="5">
        <f>(AH39)*1000/AJ39*AI39</f>
        <v>8101.8518518518513</v>
      </c>
      <c r="AL39" s="7"/>
      <c r="AM39" s="6" t="e">
        <f>AVERAGE(AH39,#REF!)</f>
        <v>#REF!</v>
      </c>
      <c r="AN39" s="7" t="e">
        <f>AM39-#REF!</f>
        <v>#REF!</v>
      </c>
      <c r="AO39" s="7" t="e">
        <f>100*AM39/1500</f>
        <v>#REF!</v>
      </c>
      <c r="AP39" s="7" t="e">
        <f>100*AN39/1000</f>
        <v>#REF!</v>
      </c>
      <c r="AQ39" s="6" t="e">
        <f>AH39-#REF!</f>
        <v>#REF!</v>
      </c>
    </row>
    <row r="41" spans="1:43" ht="17" thickBot="1" x14ac:dyDescent="0.25">
      <c r="A41" s="13"/>
      <c r="B41" s="36"/>
      <c r="C41" s="38" t="s">
        <v>55</v>
      </c>
      <c r="D41" s="44" t="s">
        <v>42</v>
      </c>
      <c r="E41" s="44"/>
      <c r="F41" s="40">
        <f>SUM(H42:AE42)</f>
        <v>7</v>
      </c>
      <c r="G41" s="15"/>
      <c r="H41" s="1" t="s">
        <v>8</v>
      </c>
      <c r="I41" s="1" t="s">
        <v>9</v>
      </c>
      <c r="J41" s="1" t="s">
        <v>10</v>
      </c>
      <c r="K41" s="1" t="s">
        <v>11</v>
      </c>
      <c r="L41" s="1" t="s">
        <v>12</v>
      </c>
      <c r="M41" s="1" t="s">
        <v>13</v>
      </c>
      <c r="N41" s="1" t="s">
        <v>14</v>
      </c>
      <c r="O41" s="1" t="s">
        <v>15</v>
      </c>
      <c r="P41" s="1" t="s">
        <v>16</v>
      </c>
      <c r="Q41" s="1" t="s">
        <v>17</v>
      </c>
      <c r="R41" s="1" t="s">
        <v>18</v>
      </c>
      <c r="S41" s="1" t="s">
        <v>19</v>
      </c>
      <c r="T41" s="1" t="s">
        <v>20</v>
      </c>
      <c r="U41" s="1" t="s">
        <v>21</v>
      </c>
      <c r="V41" s="1" t="s">
        <v>22</v>
      </c>
      <c r="W41" s="1" t="s">
        <v>23</v>
      </c>
      <c r="X41" s="1" t="s">
        <v>24</v>
      </c>
      <c r="Y41" s="1" t="s">
        <v>25</v>
      </c>
      <c r="Z41" s="1" t="s">
        <v>26</v>
      </c>
      <c r="AA41" s="1" t="s">
        <v>27</v>
      </c>
      <c r="AB41" s="1" t="s">
        <v>28</v>
      </c>
      <c r="AC41" s="1" t="s">
        <v>29</v>
      </c>
      <c r="AD41" s="1" t="s">
        <v>30</v>
      </c>
      <c r="AE41" s="1" t="s">
        <v>32</v>
      </c>
      <c r="AF41" s="17"/>
      <c r="AG41" s="18"/>
      <c r="AH41" s="30"/>
      <c r="AI41" s="31"/>
      <c r="AJ41" s="32"/>
      <c r="AK41" s="22"/>
      <c r="AL41" s="13"/>
      <c r="AM41" s="13"/>
      <c r="AN41" s="13"/>
      <c r="AO41" s="13"/>
      <c r="AP41" s="13"/>
      <c r="AQ41" s="13"/>
    </row>
    <row r="42" spans="1:43" ht="17" thickBot="1" x14ac:dyDescent="0.25">
      <c r="A42" s="13"/>
      <c r="B42" s="37"/>
      <c r="C42" s="39"/>
      <c r="D42" s="41"/>
      <c r="E42" s="41"/>
      <c r="F42" s="41"/>
      <c r="G42" s="23">
        <v>29</v>
      </c>
      <c r="H42">
        <v>1</v>
      </c>
      <c r="I42">
        <v>2</v>
      </c>
      <c r="J42">
        <v>1</v>
      </c>
      <c r="K42">
        <v>1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AF42" s="8"/>
      <c r="AG42" s="2">
        <f>AVERAGE(H42:AE42)</f>
        <v>0.58333333333333337</v>
      </c>
      <c r="AH42" s="3">
        <f>AG42*G42</f>
        <v>16.916666666666668</v>
      </c>
      <c r="AI42" s="4">
        <v>1</v>
      </c>
      <c r="AJ42" s="4">
        <f>5.4*11.6/25</f>
        <v>2.5055999999999998</v>
      </c>
      <c r="AK42" s="5">
        <f>(AH42)*1000/AJ42*AI42</f>
        <v>6751.5432098765441</v>
      </c>
      <c r="AL42" s="7">
        <f>100*ABS(AH42-AH44)/AVERAGE(AH42,AH44)</f>
        <v>2.8169014084506894</v>
      </c>
      <c r="AM42" s="6">
        <f>AVERAGE(AH42,AH44)</f>
        <v>17.158333333333331</v>
      </c>
      <c r="AN42" s="7" t="e">
        <f>AM42-#REF!</f>
        <v>#REF!</v>
      </c>
      <c r="AO42" s="7">
        <f>100*AM42/1500</f>
        <v>1.1438888888888887</v>
      </c>
      <c r="AP42" s="7" t="e">
        <f>100*AN42/1000</f>
        <v>#REF!</v>
      </c>
      <c r="AQ42" s="6" t="e">
        <f>AH42-#REF!</f>
        <v>#REF!</v>
      </c>
    </row>
    <row r="43" spans="1:43" ht="17" thickBot="1" x14ac:dyDescent="0.25">
      <c r="A43" s="13"/>
      <c r="B43" s="36" t="s">
        <v>54</v>
      </c>
      <c r="C43" s="38" t="s">
        <v>63</v>
      </c>
      <c r="D43" s="40" t="s">
        <v>43</v>
      </c>
      <c r="E43" s="40"/>
      <c r="F43" s="40">
        <f>SUM(H44:AE44)</f>
        <v>6</v>
      </c>
      <c r="G43" s="24"/>
      <c r="H43" s="25" t="s">
        <v>8</v>
      </c>
      <c r="I43" s="25" t="s">
        <v>9</v>
      </c>
      <c r="J43" s="25" t="s">
        <v>10</v>
      </c>
      <c r="K43" s="25" t="s">
        <v>11</v>
      </c>
      <c r="L43" s="25" t="s">
        <v>12</v>
      </c>
      <c r="M43" s="25" t="s">
        <v>13</v>
      </c>
      <c r="N43" s="25" t="s">
        <v>14</v>
      </c>
      <c r="O43" s="25" t="s">
        <v>15</v>
      </c>
      <c r="P43" s="25" t="s">
        <v>16</v>
      </c>
      <c r="Q43" s="25" t="s">
        <v>17</v>
      </c>
      <c r="R43" s="25" t="s">
        <v>18</v>
      </c>
      <c r="S43" s="25" t="s">
        <v>19</v>
      </c>
      <c r="T43" s="25" t="s">
        <v>20</v>
      </c>
      <c r="U43" s="25" t="s">
        <v>21</v>
      </c>
      <c r="V43" s="25" t="s">
        <v>22</v>
      </c>
      <c r="W43" s="25" t="s">
        <v>23</v>
      </c>
      <c r="X43" s="25" t="s">
        <v>24</v>
      </c>
      <c r="Y43" s="25" t="s">
        <v>25</v>
      </c>
      <c r="Z43" s="25" t="s">
        <v>26</v>
      </c>
      <c r="AA43" s="25" t="s">
        <v>27</v>
      </c>
      <c r="AB43" s="25" t="s">
        <v>28</v>
      </c>
      <c r="AC43" s="25" t="s">
        <v>29</v>
      </c>
      <c r="AD43" s="25" t="s">
        <v>30</v>
      </c>
      <c r="AE43" s="26" t="s">
        <v>31</v>
      </c>
      <c r="AF43" s="27"/>
      <c r="AG43" s="28"/>
      <c r="AH43" s="19"/>
      <c r="AI43" s="20"/>
      <c r="AJ43" s="21"/>
      <c r="AK43" s="22"/>
      <c r="AL43" s="13"/>
      <c r="AM43" s="13"/>
      <c r="AN43" s="13"/>
      <c r="AO43" s="13"/>
      <c r="AP43" s="13"/>
      <c r="AQ43" s="29"/>
    </row>
    <row r="44" spans="1:43" ht="17" thickBot="1" x14ac:dyDescent="0.25">
      <c r="A44" s="13"/>
      <c r="B44" s="37"/>
      <c r="C44" s="39"/>
      <c r="D44" s="41"/>
      <c r="E44" s="41"/>
      <c r="F44" s="41"/>
      <c r="G44" s="23">
        <v>29</v>
      </c>
      <c r="H44">
        <v>0</v>
      </c>
      <c r="I44">
        <v>1</v>
      </c>
      <c r="J44">
        <v>2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1</v>
      </c>
      <c r="AF44" s="10"/>
      <c r="AG44" s="2">
        <f>AVERAGE(H44:AE44)</f>
        <v>0.6</v>
      </c>
      <c r="AH44" s="3">
        <f>AG44*G44</f>
        <v>17.399999999999999</v>
      </c>
      <c r="AI44" s="4">
        <v>1</v>
      </c>
      <c r="AJ44" s="4">
        <f>5.4*11.6/25</f>
        <v>2.5055999999999998</v>
      </c>
      <c r="AK44" s="5">
        <f>(AH44)*1000/AJ44*AI44</f>
        <v>6944.4444444444453</v>
      </c>
      <c r="AL44" s="7"/>
      <c r="AM44" s="6" t="e">
        <f>AVERAGE(AH44,#REF!)</f>
        <v>#REF!</v>
      </c>
      <c r="AN44" s="7" t="e">
        <f>AM44-#REF!</f>
        <v>#REF!</v>
      </c>
      <c r="AO44" s="7" t="e">
        <f>100*AM44/1500</f>
        <v>#REF!</v>
      </c>
      <c r="AP44" s="7" t="e">
        <f>100*AN44/1000</f>
        <v>#REF!</v>
      </c>
      <c r="AQ44" s="6" t="e">
        <f>AH44-#REF!</f>
        <v>#REF!</v>
      </c>
    </row>
    <row r="46" spans="1:43" ht="17" thickBot="1" x14ac:dyDescent="0.25">
      <c r="A46" s="13"/>
      <c r="B46" s="36"/>
      <c r="C46" s="38" t="s">
        <v>55</v>
      </c>
      <c r="D46" s="44" t="s">
        <v>42</v>
      </c>
      <c r="E46" s="44">
        <v>0</v>
      </c>
      <c r="F46" s="40">
        <f>SUM(H47:AE47)</f>
        <v>5</v>
      </c>
      <c r="G46" s="15"/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21</v>
      </c>
      <c r="V46" s="1" t="s">
        <v>22</v>
      </c>
      <c r="W46" s="1" t="s">
        <v>23</v>
      </c>
      <c r="X46" s="1" t="s">
        <v>24</v>
      </c>
      <c r="Y46" s="1" t="s">
        <v>25</v>
      </c>
      <c r="Z46" s="1" t="s">
        <v>26</v>
      </c>
      <c r="AA46" s="1" t="s">
        <v>27</v>
      </c>
      <c r="AB46" s="1" t="s">
        <v>28</v>
      </c>
      <c r="AC46" s="1" t="s">
        <v>29</v>
      </c>
      <c r="AD46" s="1" t="s">
        <v>30</v>
      </c>
      <c r="AE46" s="1" t="s">
        <v>32</v>
      </c>
      <c r="AF46" s="17"/>
      <c r="AG46" s="18"/>
      <c r="AH46" s="30"/>
      <c r="AI46" s="31"/>
      <c r="AJ46" s="32"/>
      <c r="AK46" s="22"/>
      <c r="AL46" s="13"/>
      <c r="AM46" s="13"/>
      <c r="AN46" s="13"/>
      <c r="AO46" s="13"/>
      <c r="AP46" s="13"/>
      <c r="AQ46" s="13"/>
    </row>
    <row r="47" spans="1:43" ht="17" thickBot="1" x14ac:dyDescent="0.25">
      <c r="A47" s="13"/>
      <c r="B47" s="37"/>
      <c r="C47" s="39"/>
      <c r="D47" s="41"/>
      <c r="E47" s="41"/>
      <c r="F47" s="41"/>
      <c r="G47" s="23">
        <v>29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AF47" s="8"/>
      <c r="AG47" s="2">
        <f>AVERAGE(H47:AE47)</f>
        <v>0.35714285714285715</v>
      </c>
      <c r="AH47" s="3">
        <f>AG47*G47</f>
        <v>10.357142857142858</v>
      </c>
      <c r="AI47" s="4">
        <v>1</v>
      </c>
      <c r="AJ47" s="4">
        <f>5.4*11.6/25</f>
        <v>2.5055999999999998</v>
      </c>
      <c r="AK47" s="5">
        <f>(AH47)*1000/AJ47*AI47</f>
        <v>4133.597883597884</v>
      </c>
      <c r="AL47" s="7">
        <f>100*ABS(AH47-AH49)/AVERAGE(AH47,AH49)</f>
        <v>25.503355704697984</v>
      </c>
      <c r="AM47" s="6">
        <f>AVERAGE(AH47,AH49)</f>
        <v>11.87087912087912</v>
      </c>
      <c r="AN47" s="7" t="e">
        <f>AM47-#REF!</f>
        <v>#REF!</v>
      </c>
      <c r="AO47" s="7">
        <f>100*AM47/1500</f>
        <v>0.79139194139194124</v>
      </c>
      <c r="AP47" s="7" t="e">
        <f>100*AN47/1000</f>
        <v>#REF!</v>
      </c>
      <c r="AQ47" s="6" t="e">
        <f>AH47-#REF!</f>
        <v>#REF!</v>
      </c>
    </row>
    <row r="48" spans="1:43" ht="17" thickBot="1" x14ac:dyDescent="0.25">
      <c r="A48" s="13"/>
      <c r="B48" s="36" t="s">
        <v>54</v>
      </c>
      <c r="C48" s="38" t="s">
        <v>64</v>
      </c>
      <c r="D48" s="40" t="s">
        <v>43</v>
      </c>
      <c r="E48" s="40"/>
      <c r="F48" s="40">
        <f>SUM(H49:AE49)</f>
        <v>6</v>
      </c>
      <c r="G48" s="24"/>
      <c r="H48" s="25" t="s">
        <v>8</v>
      </c>
      <c r="I48" s="25" t="s">
        <v>9</v>
      </c>
      <c r="J48" s="25" t="s">
        <v>10</v>
      </c>
      <c r="K48" s="25" t="s">
        <v>11</v>
      </c>
      <c r="L48" s="25" t="s">
        <v>12</v>
      </c>
      <c r="M48" s="25" t="s">
        <v>13</v>
      </c>
      <c r="N48" s="25" t="s">
        <v>14</v>
      </c>
      <c r="O48" s="25" t="s">
        <v>15</v>
      </c>
      <c r="P48" s="25" t="s">
        <v>16</v>
      </c>
      <c r="Q48" s="25" t="s">
        <v>17</v>
      </c>
      <c r="R48" s="25" t="s">
        <v>18</v>
      </c>
      <c r="S48" s="25" t="s">
        <v>19</v>
      </c>
      <c r="T48" s="25" t="s">
        <v>20</v>
      </c>
      <c r="U48" s="25" t="s">
        <v>21</v>
      </c>
      <c r="V48" s="25" t="s">
        <v>22</v>
      </c>
      <c r="W48" s="25" t="s">
        <v>23</v>
      </c>
      <c r="X48" s="25" t="s">
        <v>24</v>
      </c>
      <c r="Y48" s="25" t="s">
        <v>25</v>
      </c>
      <c r="Z48" s="25" t="s">
        <v>26</v>
      </c>
      <c r="AA48" s="25" t="s">
        <v>27</v>
      </c>
      <c r="AB48" s="25" t="s">
        <v>28</v>
      </c>
      <c r="AC48" s="25" t="s">
        <v>29</v>
      </c>
      <c r="AD48" s="25" t="s">
        <v>30</v>
      </c>
      <c r="AE48" s="26" t="s">
        <v>31</v>
      </c>
      <c r="AF48" s="27"/>
      <c r="AG48" s="28"/>
      <c r="AH48" s="19"/>
      <c r="AI48" s="20"/>
      <c r="AJ48" s="21"/>
      <c r="AK48" s="22"/>
      <c r="AL48" s="13"/>
      <c r="AM48" s="13"/>
      <c r="AN48" s="13"/>
      <c r="AO48" s="13"/>
      <c r="AP48" s="13"/>
      <c r="AQ48" s="29"/>
    </row>
    <row r="49" spans="1:43" ht="17" thickBot="1" x14ac:dyDescent="0.25">
      <c r="A49" s="13"/>
      <c r="B49" s="37"/>
      <c r="C49" s="39"/>
      <c r="D49" s="41"/>
      <c r="E49" s="41"/>
      <c r="F49" s="41"/>
      <c r="G49" s="23">
        <v>29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2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AF49" s="10"/>
      <c r="AG49" s="2">
        <f>AVERAGE(H49:AE49)</f>
        <v>0.46153846153846156</v>
      </c>
      <c r="AH49" s="3">
        <f>AG49*G49</f>
        <v>13.384615384615385</v>
      </c>
      <c r="AI49" s="4">
        <v>1</v>
      </c>
      <c r="AJ49" s="4">
        <f>5.4*11.6/25</f>
        <v>2.5055999999999998</v>
      </c>
      <c r="AK49" s="5">
        <f>(AH49)*1000/AJ49*AI49</f>
        <v>5341.8803418803427</v>
      </c>
      <c r="AL49" s="7"/>
      <c r="AM49" s="6" t="e">
        <f>AVERAGE(AH49,#REF!)</f>
        <v>#REF!</v>
      </c>
      <c r="AN49" s="7" t="e">
        <f>AM49-#REF!</f>
        <v>#REF!</v>
      </c>
      <c r="AO49" s="7" t="e">
        <f>100*AM49/1500</f>
        <v>#REF!</v>
      </c>
      <c r="AP49" s="7" t="e">
        <f>100*AN49/1000</f>
        <v>#REF!</v>
      </c>
      <c r="AQ49" s="6" t="e">
        <f>AH49-#REF!</f>
        <v>#REF!</v>
      </c>
    </row>
    <row r="51" spans="1:43" ht="17" thickBot="1" x14ac:dyDescent="0.25">
      <c r="A51" s="13"/>
      <c r="B51" s="36"/>
      <c r="C51" s="38" t="s">
        <v>55</v>
      </c>
      <c r="D51" s="44" t="s">
        <v>42</v>
      </c>
      <c r="E51" s="44"/>
      <c r="F51" s="40">
        <f>SUM(H52:AE52)</f>
        <v>24</v>
      </c>
      <c r="G51" s="15"/>
      <c r="H51" s="1" t="s">
        <v>8</v>
      </c>
      <c r="I51" s="1" t="s">
        <v>9</v>
      </c>
      <c r="J51" s="1" t="s">
        <v>10</v>
      </c>
      <c r="K51" s="1" t="s">
        <v>11</v>
      </c>
      <c r="L51" s="1" t="s">
        <v>12</v>
      </c>
      <c r="M51" s="1" t="s">
        <v>13</v>
      </c>
      <c r="N51" s="1" t="s">
        <v>14</v>
      </c>
      <c r="O51" s="1" t="s">
        <v>15</v>
      </c>
      <c r="P51" s="1" t="s">
        <v>16</v>
      </c>
      <c r="Q51" s="1" t="s">
        <v>17</v>
      </c>
      <c r="R51" s="1" t="s">
        <v>18</v>
      </c>
      <c r="S51" s="1" t="s">
        <v>19</v>
      </c>
      <c r="T51" s="1" t="s">
        <v>20</v>
      </c>
      <c r="U51" s="1" t="s">
        <v>21</v>
      </c>
      <c r="V51" s="1" t="s">
        <v>22</v>
      </c>
      <c r="W51" s="1" t="s">
        <v>23</v>
      </c>
      <c r="X51" s="1" t="s">
        <v>24</v>
      </c>
      <c r="Y51" s="1" t="s">
        <v>25</v>
      </c>
      <c r="Z51" s="1" t="s">
        <v>26</v>
      </c>
      <c r="AA51" s="1" t="s">
        <v>27</v>
      </c>
      <c r="AB51" s="1" t="s">
        <v>28</v>
      </c>
      <c r="AC51" s="1" t="s">
        <v>29</v>
      </c>
      <c r="AD51" s="1" t="s">
        <v>30</v>
      </c>
      <c r="AE51" s="1" t="s">
        <v>32</v>
      </c>
      <c r="AF51" s="17"/>
      <c r="AG51" s="18"/>
      <c r="AH51" s="30"/>
      <c r="AI51" s="31"/>
      <c r="AJ51" s="32"/>
      <c r="AK51" s="22"/>
      <c r="AL51" s="13"/>
      <c r="AM51" s="13"/>
      <c r="AN51" s="13"/>
      <c r="AO51" s="13"/>
      <c r="AP51" s="13"/>
      <c r="AQ51" s="13"/>
    </row>
    <row r="52" spans="1:43" ht="17" thickBot="1" x14ac:dyDescent="0.25">
      <c r="A52" s="13"/>
      <c r="B52" s="37"/>
      <c r="C52" s="39"/>
      <c r="D52" s="41"/>
      <c r="E52" s="41"/>
      <c r="F52" s="41"/>
      <c r="G52" s="23">
        <v>29</v>
      </c>
      <c r="H52">
        <v>0</v>
      </c>
      <c r="I52">
        <v>2</v>
      </c>
      <c r="J52">
        <v>1</v>
      </c>
      <c r="K52">
        <v>1</v>
      </c>
      <c r="L52">
        <v>1</v>
      </c>
      <c r="M52">
        <v>0</v>
      </c>
      <c r="N52">
        <v>3</v>
      </c>
      <c r="O52">
        <v>2</v>
      </c>
      <c r="P52">
        <v>5</v>
      </c>
      <c r="Q52">
        <v>2</v>
      </c>
      <c r="R52">
        <v>7</v>
      </c>
      <c r="S52">
        <v>0</v>
      </c>
      <c r="AF52" s="8"/>
      <c r="AG52" s="2">
        <f>AVERAGE(H52:AE52)</f>
        <v>2</v>
      </c>
      <c r="AH52" s="3">
        <f>AG52*G52</f>
        <v>58</v>
      </c>
      <c r="AI52" s="4">
        <v>1</v>
      </c>
      <c r="AJ52" s="4">
        <f>5.4*11.6/25</f>
        <v>2.5055999999999998</v>
      </c>
      <c r="AK52" s="5">
        <f>(AH52)*1000/AJ52*AI52</f>
        <v>23148.14814814815</v>
      </c>
      <c r="AL52" s="7">
        <f>100*ABS(AH52-AH54)/AVERAGE(AH52,AH54)</f>
        <v>60.000000000000007</v>
      </c>
      <c r="AM52" s="6">
        <f>AVERAGE(AH52,AH54)</f>
        <v>44.615384615384613</v>
      </c>
      <c r="AN52" s="7" t="e">
        <f>AM52-#REF!</f>
        <v>#REF!</v>
      </c>
      <c r="AO52" s="7">
        <f>100*AM52/1500</f>
        <v>2.974358974358974</v>
      </c>
      <c r="AP52" s="7" t="e">
        <f>100*AN52/1000</f>
        <v>#REF!</v>
      </c>
      <c r="AQ52" s="6" t="e">
        <f>AH52-#REF!</f>
        <v>#REF!</v>
      </c>
    </row>
    <row r="53" spans="1:43" ht="17" thickBot="1" x14ac:dyDescent="0.25">
      <c r="A53" s="13"/>
      <c r="B53" s="36" t="s">
        <v>54</v>
      </c>
      <c r="C53" s="38" t="s">
        <v>65</v>
      </c>
      <c r="D53" s="40" t="s">
        <v>43</v>
      </c>
      <c r="E53" s="40"/>
      <c r="F53" s="40">
        <f>SUM(H54:AE54)</f>
        <v>14</v>
      </c>
      <c r="G53" s="24"/>
      <c r="H53" s="25" t="s">
        <v>8</v>
      </c>
      <c r="I53" s="25" t="s">
        <v>9</v>
      </c>
      <c r="J53" s="25" t="s">
        <v>10</v>
      </c>
      <c r="K53" s="25" t="s">
        <v>11</v>
      </c>
      <c r="L53" s="25" t="s">
        <v>12</v>
      </c>
      <c r="M53" s="25" t="s">
        <v>13</v>
      </c>
      <c r="N53" s="25" t="s">
        <v>14</v>
      </c>
      <c r="O53" s="25" t="s">
        <v>15</v>
      </c>
      <c r="P53" s="25" t="s">
        <v>16</v>
      </c>
      <c r="Q53" s="25" t="s">
        <v>17</v>
      </c>
      <c r="R53" s="25" t="s">
        <v>18</v>
      </c>
      <c r="S53" s="25" t="s">
        <v>19</v>
      </c>
      <c r="T53" s="25" t="s">
        <v>20</v>
      </c>
      <c r="U53" s="25" t="s">
        <v>21</v>
      </c>
      <c r="V53" s="25" t="s">
        <v>22</v>
      </c>
      <c r="W53" s="25" t="s">
        <v>23</v>
      </c>
      <c r="X53" s="25" t="s">
        <v>24</v>
      </c>
      <c r="Y53" s="25" t="s">
        <v>25</v>
      </c>
      <c r="Z53" s="25" t="s">
        <v>26</v>
      </c>
      <c r="AA53" s="25" t="s">
        <v>27</v>
      </c>
      <c r="AB53" s="25" t="s">
        <v>28</v>
      </c>
      <c r="AC53" s="25" t="s">
        <v>29</v>
      </c>
      <c r="AD53" s="25" t="s">
        <v>30</v>
      </c>
      <c r="AE53" s="26" t="s">
        <v>31</v>
      </c>
      <c r="AF53" s="27"/>
      <c r="AG53" s="28"/>
      <c r="AH53" s="19"/>
      <c r="AI53" s="20"/>
      <c r="AJ53" s="21"/>
      <c r="AK53" s="22"/>
      <c r="AL53" s="13"/>
      <c r="AM53" s="13"/>
      <c r="AN53" s="13"/>
      <c r="AO53" s="13"/>
      <c r="AP53" s="13"/>
      <c r="AQ53" s="29"/>
    </row>
    <row r="54" spans="1:43" ht="17" thickBot="1" x14ac:dyDescent="0.25">
      <c r="A54" s="13"/>
      <c r="B54" s="37"/>
      <c r="C54" s="39"/>
      <c r="D54" s="41"/>
      <c r="E54" s="41"/>
      <c r="F54" s="41"/>
      <c r="G54" s="23">
        <v>29</v>
      </c>
      <c r="H54">
        <v>1</v>
      </c>
      <c r="I54">
        <v>2</v>
      </c>
      <c r="J54">
        <v>3</v>
      </c>
      <c r="K54">
        <v>1</v>
      </c>
      <c r="L54">
        <v>0</v>
      </c>
      <c r="M54">
        <v>2</v>
      </c>
      <c r="N54">
        <v>0</v>
      </c>
      <c r="O54">
        <v>1</v>
      </c>
      <c r="P54">
        <v>0</v>
      </c>
      <c r="Q54">
        <v>1</v>
      </c>
      <c r="R54">
        <v>2</v>
      </c>
      <c r="S54">
        <v>1</v>
      </c>
      <c r="T54">
        <v>0</v>
      </c>
      <c r="AF54" s="10"/>
      <c r="AG54" s="2">
        <f>AVERAGE(H54:AE54)</f>
        <v>1.0769230769230769</v>
      </c>
      <c r="AH54" s="3">
        <f>AG54*G54</f>
        <v>31.23076923076923</v>
      </c>
      <c r="AI54" s="4">
        <v>1</v>
      </c>
      <c r="AJ54" s="4">
        <f>5.4*11.6/25</f>
        <v>2.5055999999999998</v>
      </c>
      <c r="AK54" s="5">
        <f>(AH54)*1000/AJ54*AI54</f>
        <v>12464.387464387466</v>
      </c>
      <c r="AL54" s="7"/>
      <c r="AM54" s="6" t="e">
        <f>AVERAGE(AH54,#REF!)</f>
        <v>#REF!</v>
      </c>
      <c r="AN54" s="7" t="e">
        <f>AM54-#REF!</f>
        <v>#REF!</v>
      </c>
      <c r="AO54" s="7" t="e">
        <f>100*AM54/1500</f>
        <v>#REF!</v>
      </c>
      <c r="AP54" s="7" t="e">
        <f>100*AN54/1000</f>
        <v>#REF!</v>
      </c>
      <c r="AQ54" s="6" t="e">
        <f>AH54-#REF!</f>
        <v>#REF!</v>
      </c>
    </row>
    <row r="56" spans="1:43" ht="17" thickBot="1" x14ac:dyDescent="0.25">
      <c r="A56" s="13"/>
      <c r="B56" s="36"/>
      <c r="C56" s="38" t="s">
        <v>55</v>
      </c>
      <c r="D56" s="44" t="s">
        <v>42</v>
      </c>
      <c r="E56" s="44"/>
      <c r="F56" s="40">
        <f>SUM(H57:AE57)</f>
        <v>3</v>
      </c>
      <c r="G56" s="15"/>
      <c r="H56" s="1" t="s">
        <v>8</v>
      </c>
      <c r="I56" s="1" t="s">
        <v>9</v>
      </c>
      <c r="J56" s="1" t="s">
        <v>10</v>
      </c>
      <c r="K56" s="1" t="s">
        <v>11</v>
      </c>
      <c r="L56" s="1" t="s">
        <v>12</v>
      </c>
      <c r="M56" s="1" t="s">
        <v>13</v>
      </c>
      <c r="N56" s="1" t="s">
        <v>14</v>
      </c>
      <c r="O56" s="1" t="s">
        <v>15</v>
      </c>
      <c r="P56" s="1" t="s">
        <v>16</v>
      </c>
      <c r="Q56" s="1" t="s">
        <v>17</v>
      </c>
      <c r="R56" s="1" t="s">
        <v>18</v>
      </c>
      <c r="S56" s="1" t="s">
        <v>19</v>
      </c>
      <c r="T56" s="1" t="s">
        <v>20</v>
      </c>
      <c r="U56" s="1" t="s">
        <v>21</v>
      </c>
      <c r="V56" s="1" t="s">
        <v>22</v>
      </c>
      <c r="W56" s="1" t="s">
        <v>23</v>
      </c>
      <c r="X56" s="1" t="s">
        <v>24</v>
      </c>
      <c r="Y56" s="1" t="s">
        <v>25</v>
      </c>
      <c r="Z56" s="1" t="s">
        <v>26</v>
      </c>
      <c r="AA56" s="1" t="s">
        <v>27</v>
      </c>
      <c r="AB56" s="1" t="s">
        <v>28</v>
      </c>
      <c r="AC56" s="1" t="s">
        <v>29</v>
      </c>
      <c r="AD56" s="1" t="s">
        <v>30</v>
      </c>
      <c r="AE56" s="1" t="s">
        <v>32</v>
      </c>
      <c r="AF56" s="17"/>
      <c r="AG56" s="18"/>
      <c r="AH56" s="30"/>
      <c r="AI56" s="31"/>
      <c r="AJ56" s="32"/>
      <c r="AK56" s="22"/>
      <c r="AL56" s="13"/>
      <c r="AM56" s="13"/>
      <c r="AN56" s="13"/>
      <c r="AO56" s="13"/>
      <c r="AP56" s="13"/>
      <c r="AQ56" s="13"/>
    </row>
    <row r="57" spans="1:43" ht="17" thickBot="1" x14ac:dyDescent="0.25">
      <c r="A57" s="13"/>
      <c r="B57" s="37"/>
      <c r="C57" s="39"/>
      <c r="D57" s="41"/>
      <c r="E57" s="41"/>
      <c r="F57" s="41"/>
      <c r="G57" s="23">
        <v>29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8"/>
      <c r="AG57" s="2">
        <f>AVERAGE(H57:AE57)</f>
        <v>0.125</v>
      </c>
      <c r="AH57" s="3">
        <f>AG57*G57</f>
        <v>3.625</v>
      </c>
      <c r="AI57" s="4">
        <v>1</v>
      </c>
      <c r="AJ57" s="4">
        <f>5.4*11.6/25</f>
        <v>2.5055999999999998</v>
      </c>
      <c r="AK57" s="5">
        <f>(AH57)*1000/AJ57*AI57</f>
        <v>1446.7592592592594</v>
      </c>
      <c r="AL57" s="7">
        <f>100*ABS(AH57-AH59)/AVERAGE(AH57,AH59)</f>
        <v>71.18644067796609</v>
      </c>
      <c r="AM57" s="6">
        <f>AVERAGE(AH57,AH59)</f>
        <v>5.6282894736842106</v>
      </c>
      <c r="AN57" s="7" t="e">
        <f>AM57-#REF!</f>
        <v>#REF!</v>
      </c>
      <c r="AO57" s="7">
        <f>100*AM57/1500</f>
        <v>0.37521929824561401</v>
      </c>
      <c r="AP57" s="7" t="e">
        <f>100*AN57/1000</f>
        <v>#REF!</v>
      </c>
      <c r="AQ57" s="6" t="e">
        <f>AH57-#REF!</f>
        <v>#REF!</v>
      </c>
    </row>
    <row r="58" spans="1:43" ht="17" thickBot="1" x14ac:dyDescent="0.25">
      <c r="A58" s="13"/>
      <c r="B58" s="36" t="s">
        <v>54</v>
      </c>
      <c r="C58" s="38" t="s">
        <v>66</v>
      </c>
      <c r="D58" s="40" t="s">
        <v>43</v>
      </c>
      <c r="E58" s="40"/>
      <c r="F58" s="40">
        <f>SUM(H59:AE59)</f>
        <v>5</v>
      </c>
      <c r="G58" s="24"/>
      <c r="H58" s="25" t="s">
        <v>8</v>
      </c>
      <c r="I58" s="25" t="s">
        <v>9</v>
      </c>
      <c r="J58" s="25" t="s">
        <v>10</v>
      </c>
      <c r="K58" s="25" t="s">
        <v>11</v>
      </c>
      <c r="L58" s="25" t="s">
        <v>12</v>
      </c>
      <c r="M58" s="25" t="s">
        <v>13</v>
      </c>
      <c r="N58" s="25" t="s">
        <v>14</v>
      </c>
      <c r="O58" s="25" t="s">
        <v>15</v>
      </c>
      <c r="P58" s="25" t="s">
        <v>16</v>
      </c>
      <c r="Q58" s="25" t="s">
        <v>17</v>
      </c>
      <c r="R58" s="25" t="s">
        <v>18</v>
      </c>
      <c r="S58" s="25" t="s">
        <v>19</v>
      </c>
      <c r="T58" s="25" t="s">
        <v>20</v>
      </c>
      <c r="U58" s="25" t="s">
        <v>21</v>
      </c>
      <c r="V58" s="25" t="s">
        <v>22</v>
      </c>
      <c r="W58" s="25" t="s">
        <v>23</v>
      </c>
      <c r="X58" s="25" t="s">
        <v>24</v>
      </c>
      <c r="Y58" s="25" t="s">
        <v>25</v>
      </c>
      <c r="Z58" s="25" t="s">
        <v>26</v>
      </c>
      <c r="AA58" s="25" t="s">
        <v>27</v>
      </c>
      <c r="AB58" s="25" t="s">
        <v>28</v>
      </c>
      <c r="AC58" s="25" t="s">
        <v>29</v>
      </c>
      <c r="AD58" s="25" t="s">
        <v>30</v>
      </c>
      <c r="AE58" s="26" t="s">
        <v>31</v>
      </c>
      <c r="AF58" s="27"/>
      <c r="AG58" s="28"/>
      <c r="AH58" s="19"/>
      <c r="AI58" s="20"/>
      <c r="AJ58" s="21"/>
      <c r="AK58" s="22"/>
      <c r="AL58" s="13"/>
      <c r="AM58" s="13"/>
      <c r="AN58" s="13"/>
      <c r="AO58" s="13"/>
      <c r="AP58" s="13"/>
      <c r="AQ58" s="29"/>
    </row>
    <row r="59" spans="1:43" ht="17" thickBot="1" x14ac:dyDescent="0.25">
      <c r="A59" s="13"/>
      <c r="B59" s="37"/>
      <c r="C59" s="39"/>
      <c r="D59" s="41"/>
      <c r="E59" s="41"/>
      <c r="F59" s="41"/>
      <c r="G59" s="23">
        <v>29</v>
      </c>
      <c r="H59">
        <v>0</v>
      </c>
      <c r="I59">
        <v>0</v>
      </c>
      <c r="J59">
        <v>1</v>
      </c>
      <c r="K59">
        <v>1</v>
      </c>
      <c r="L59">
        <v>0</v>
      </c>
      <c r="M59">
        <v>2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F59" s="10"/>
      <c r="AG59" s="2">
        <f>AVERAGE(H59:AE59)</f>
        <v>0.26315789473684209</v>
      </c>
      <c r="AH59" s="3">
        <f>AG59*G59</f>
        <v>7.6315789473684204</v>
      </c>
      <c r="AI59" s="4">
        <v>1</v>
      </c>
      <c r="AJ59" s="4">
        <f>5.4*11.6/25</f>
        <v>2.5055999999999998</v>
      </c>
      <c r="AK59" s="5">
        <f>(AH59)*1000/AJ59*AI59</f>
        <v>3045.808966861598</v>
      </c>
      <c r="AL59" s="7"/>
      <c r="AM59" s="6" t="e">
        <f>AVERAGE(AH59,#REF!)</f>
        <v>#REF!</v>
      </c>
      <c r="AN59" s="7" t="e">
        <f>AM59-#REF!</f>
        <v>#REF!</v>
      </c>
      <c r="AO59" s="7" t="e">
        <f>100*AM59/1500</f>
        <v>#REF!</v>
      </c>
      <c r="AP59" s="7" t="e">
        <f>100*AN59/1000</f>
        <v>#REF!</v>
      </c>
      <c r="AQ59" s="6" t="e">
        <f>AH59-#REF!</f>
        <v>#REF!</v>
      </c>
    </row>
    <row r="61" spans="1:43" ht="17" thickBot="1" x14ac:dyDescent="0.25">
      <c r="A61" s="13"/>
      <c r="B61" s="36"/>
      <c r="C61" s="38" t="s">
        <v>55</v>
      </c>
      <c r="D61" s="44" t="s">
        <v>42</v>
      </c>
      <c r="E61" s="44"/>
      <c r="F61" s="40">
        <f>SUM(H62:AE62)</f>
        <v>2</v>
      </c>
      <c r="G61" s="15"/>
      <c r="H61" s="1" t="s">
        <v>8</v>
      </c>
      <c r="I61" s="1" t="s">
        <v>9</v>
      </c>
      <c r="J61" s="1" t="s">
        <v>10</v>
      </c>
      <c r="K61" s="1" t="s">
        <v>11</v>
      </c>
      <c r="L61" s="1" t="s">
        <v>12</v>
      </c>
      <c r="M61" s="1" t="s">
        <v>13</v>
      </c>
      <c r="N61" s="1" t="s">
        <v>14</v>
      </c>
      <c r="O61" s="1" t="s">
        <v>15</v>
      </c>
      <c r="P61" s="1" t="s">
        <v>16</v>
      </c>
      <c r="Q61" s="1" t="s">
        <v>17</v>
      </c>
      <c r="R61" s="1" t="s">
        <v>18</v>
      </c>
      <c r="S61" s="1" t="s">
        <v>19</v>
      </c>
      <c r="T61" s="1" t="s">
        <v>20</v>
      </c>
      <c r="U61" s="1" t="s">
        <v>21</v>
      </c>
      <c r="V61" s="1" t="s">
        <v>22</v>
      </c>
      <c r="W61" s="1" t="s">
        <v>23</v>
      </c>
      <c r="X61" s="1" t="s">
        <v>24</v>
      </c>
      <c r="Y61" s="1" t="s">
        <v>25</v>
      </c>
      <c r="Z61" s="1" t="s">
        <v>26</v>
      </c>
      <c r="AA61" s="1" t="s">
        <v>27</v>
      </c>
      <c r="AB61" s="1" t="s">
        <v>28</v>
      </c>
      <c r="AC61" s="1" t="s">
        <v>29</v>
      </c>
      <c r="AD61" s="1" t="s">
        <v>30</v>
      </c>
      <c r="AE61" s="1" t="s">
        <v>32</v>
      </c>
      <c r="AF61" s="17"/>
      <c r="AG61" s="18"/>
      <c r="AH61" s="30"/>
      <c r="AI61" s="31"/>
      <c r="AJ61" s="32"/>
      <c r="AK61" s="22"/>
      <c r="AL61" s="13"/>
      <c r="AM61" s="13"/>
      <c r="AN61" s="13"/>
      <c r="AO61" s="13"/>
      <c r="AP61" s="13"/>
      <c r="AQ61" s="13"/>
    </row>
    <row r="62" spans="1:43" ht="17" thickBot="1" x14ac:dyDescent="0.25">
      <c r="A62" s="13"/>
      <c r="B62" s="37"/>
      <c r="C62" s="39"/>
      <c r="D62" s="41"/>
      <c r="E62" s="41"/>
      <c r="F62" s="41"/>
      <c r="G62" s="23">
        <v>29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s="8"/>
      <c r="AG62" s="2">
        <f>AVERAGE(H62:AE62)</f>
        <v>8.3333333333333329E-2</v>
      </c>
      <c r="AH62" s="3">
        <f>AG62*G62</f>
        <v>2.4166666666666665</v>
      </c>
      <c r="AI62" s="4">
        <v>1</v>
      </c>
      <c r="AJ62" s="4">
        <f>5.4*11.6/25</f>
        <v>2.5055999999999998</v>
      </c>
      <c r="AK62" s="5">
        <f>(AH62)*1000/AJ62*AI62</f>
        <v>964.50617283950623</v>
      </c>
      <c r="AL62" s="7">
        <f>100*ABS(AH62-AH64)/AVERAGE(AH62,AH64)</f>
        <v>116.48351648351651</v>
      </c>
      <c r="AM62" s="6">
        <f>AVERAGE(AH62,AH64)</f>
        <v>5.7872807017543852</v>
      </c>
      <c r="AN62" s="7" t="e">
        <f>AM62-#REF!</f>
        <v>#REF!</v>
      </c>
      <c r="AO62" s="7">
        <f>100*AM62/1500</f>
        <v>0.38581871345029239</v>
      </c>
      <c r="AP62" s="7" t="e">
        <f>100*AN62/1000</f>
        <v>#REF!</v>
      </c>
      <c r="AQ62" s="6" t="e">
        <f>AH62-#REF!</f>
        <v>#REF!</v>
      </c>
    </row>
    <row r="63" spans="1:43" ht="17" thickBot="1" x14ac:dyDescent="0.25">
      <c r="A63" s="13"/>
      <c r="B63" s="36" t="s">
        <v>54</v>
      </c>
      <c r="C63" s="38" t="s">
        <v>67</v>
      </c>
      <c r="D63" s="40" t="s">
        <v>43</v>
      </c>
      <c r="E63" s="40"/>
      <c r="F63" s="40">
        <f>SUM(H64:AE64)</f>
        <v>6</v>
      </c>
      <c r="G63" s="24"/>
      <c r="H63" s="25" t="s">
        <v>8</v>
      </c>
      <c r="I63" s="25" t="s">
        <v>9</v>
      </c>
      <c r="J63" s="25" t="s">
        <v>10</v>
      </c>
      <c r="K63" s="25" t="s">
        <v>11</v>
      </c>
      <c r="L63" s="25" t="s">
        <v>12</v>
      </c>
      <c r="M63" s="25" t="s">
        <v>13</v>
      </c>
      <c r="N63" s="25" t="s">
        <v>14</v>
      </c>
      <c r="O63" s="25" t="s">
        <v>15</v>
      </c>
      <c r="P63" s="25" t="s">
        <v>16</v>
      </c>
      <c r="Q63" s="25" t="s">
        <v>17</v>
      </c>
      <c r="R63" s="25" t="s">
        <v>18</v>
      </c>
      <c r="S63" s="25" t="s">
        <v>19</v>
      </c>
      <c r="T63" s="25" t="s">
        <v>20</v>
      </c>
      <c r="U63" s="25" t="s">
        <v>21</v>
      </c>
      <c r="V63" s="25" t="s">
        <v>22</v>
      </c>
      <c r="W63" s="25" t="s">
        <v>23</v>
      </c>
      <c r="X63" s="25" t="s">
        <v>24</v>
      </c>
      <c r="Y63" s="25" t="s">
        <v>25</v>
      </c>
      <c r="Z63" s="25" t="s">
        <v>26</v>
      </c>
      <c r="AA63" s="25" t="s">
        <v>27</v>
      </c>
      <c r="AB63" s="25" t="s">
        <v>28</v>
      </c>
      <c r="AC63" s="25" t="s">
        <v>29</v>
      </c>
      <c r="AD63" s="25" t="s">
        <v>30</v>
      </c>
      <c r="AE63" s="26" t="s">
        <v>31</v>
      </c>
      <c r="AF63" s="27"/>
      <c r="AG63" s="28"/>
      <c r="AH63" s="19"/>
      <c r="AI63" s="20"/>
      <c r="AJ63" s="21"/>
      <c r="AK63" s="22"/>
      <c r="AL63" s="13"/>
      <c r="AM63" s="13"/>
      <c r="AN63" s="13"/>
      <c r="AO63" s="13"/>
      <c r="AP63" s="13"/>
      <c r="AQ63" s="29"/>
    </row>
    <row r="64" spans="1:43" ht="17" thickBot="1" x14ac:dyDescent="0.25">
      <c r="A64" s="13"/>
      <c r="B64" s="37"/>
      <c r="C64" s="39"/>
      <c r="D64" s="41"/>
      <c r="E64" s="41"/>
      <c r="F64" s="41"/>
      <c r="G64" s="23">
        <v>29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F64" s="10"/>
      <c r="AG64" s="2">
        <f>AVERAGE(H64:AE64)</f>
        <v>0.31578947368421051</v>
      </c>
      <c r="AH64" s="3">
        <f>AG64*G64</f>
        <v>9.1578947368421044</v>
      </c>
      <c r="AI64" s="4">
        <v>1</v>
      </c>
      <c r="AJ64" s="4">
        <f>5.4*11.6/25</f>
        <v>2.5055999999999998</v>
      </c>
      <c r="AK64" s="5">
        <f>(AH64)*1000/AJ64*AI64</f>
        <v>3654.9707602339181</v>
      </c>
      <c r="AL64" s="7"/>
      <c r="AM64" s="6" t="e">
        <f>AVERAGE(AH64,#REF!)</f>
        <v>#REF!</v>
      </c>
      <c r="AN64" s="7" t="e">
        <f>AM64-#REF!</f>
        <v>#REF!</v>
      </c>
      <c r="AO64" s="7" t="e">
        <f>100*AM64/1500</f>
        <v>#REF!</v>
      </c>
      <c r="AP64" s="7" t="e">
        <f>100*AN64/1000</f>
        <v>#REF!</v>
      </c>
      <c r="AQ64" s="6" t="e">
        <f>AH64-#REF!</f>
        <v>#REF!</v>
      </c>
    </row>
  </sheetData>
  <mergeCells count="132">
    <mergeCell ref="B61:B62"/>
    <mergeCell ref="C61:C62"/>
    <mergeCell ref="D61:D62"/>
    <mergeCell ref="E61:E62"/>
    <mergeCell ref="F61:F62"/>
    <mergeCell ref="B63:B64"/>
    <mergeCell ref="C63:C64"/>
    <mergeCell ref="D63:D64"/>
    <mergeCell ref="E63:E64"/>
    <mergeCell ref="F63:F64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B51:B52"/>
    <mergeCell ref="C51:C52"/>
    <mergeCell ref="D51:D52"/>
    <mergeCell ref="E51:E52"/>
    <mergeCell ref="F51:F52"/>
    <mergeCell ref="B53:B54"/>
    <mergeCell ref="C53:C54"/>
    <mergeCell ref="D53:D54"/>
    <mergeCell ref="E53:E54"/>
    <mergeCell ref="F53:F54"/>
    <mergeCell ref="B46:B47"/>
    <mergeCell ref="C46:C47"/>
    <mergeCell ref="D46:D47"/>
    <mergeCell ref="E46:E47"/>
    <mergeCell ref="F46:F47"/>
    <mergeCell ref="B48:B49"/>
    <mergeCell ref="C48:C49"/>
    <mergeCell ref="D48:D49"/>
    <mergeCell ref="E48:E49"/>
    <mergeCell ref="F48:F49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B36:B37"/>
    <mergeCell ref="C36:C37"/>
    <mergeCell ref="D36:D37"/>
    <mergeCell ref="E36:E37"/>
    <mergeCell ref="F36:F37"/>
    <mergeCell ref="B38:B39"/>
    <mergeCell ref="C38:C39"/>
    <mergeCell ref="D38:D39"/>
    <mergeCell ref="E38:E39"/>
    <mergeCell ref="F38:F39"/>
    <mergeCell ref="B31:B32"/>
    <mergeCell ref="C31:C32"/>
    <mergeCell ref="D31:D32"/>
    <mergeCell ref="E31:E32"/>
    <mergeCell ref="F31:F32"/>
    <mergeCell ref="B33:B34"/>
    <mergeCell ref="C33:C34"/>
    <mergeCell ref="D33:D34"/>
    <mergeCell ref="E33:E34"/>
    <mergeCell ref="F33:F34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21:B22"/>
    <mergeCell ref="C21:C22"/>
    <mergeCell ref="D21:D22"/>
    <mergeCell ref="E21:E22"/>
    <mergeCell ref="F21:F22"/>
    <mergeCell ref="B23:B24"/>
    <mergeCell ref="C23:C24"/>
    <mergeCell ref="D23:D24"/>
    <mergeCell ref="E23:E24"/>
    <mergeCell ref="F23:F24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H4:AE5"/>
    <mergeCell ref="AG4:AG5"/>
    <mergeCell ref="AH4:AH5"/>
    <mergeCell ref="AI4:AI5"/>
    <mergeCell ref="AJ4:AJ5"/>
    <mergeCell ref="AK4:AK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1F3C-4346-BD48-B8ED-9411532B1014}">
  <dimension ref="A1:AQ22"/>
  <sheetViews>
    <sheetView workbookViewId="0">
      <selection activeCell="J28" sqref="J28"/>
    </sheetView>
  </sheetViews>
  <sheetFormatPr baseColWidth="10" defaultRowHeight="16" x14ac:dyDescent="0.2"/>
  <cols>
    <col min="1" max="1" width="18.6640625" customWidth="1"/>
    <col min="2" max="2" width="13" customWidth="1"/>
    <col min="3" max="3" width="14.5" bestFit="1" customWidth="1"/>
    <col min="4" max="4" width="11.6640625" bestFit="1" customWidth="1"/>
    <col min="5" max="5" width="17.1640625" customWidth="1"/>
    <col min="6" max="6" width="14" customWidth="1"/>
  </cols>
  <sheetData>
    <row r="1" spans="1:43" ht="22" x14ac:dyDescent="0.3">
      <c r="A1" s="9" t="s">
        <v>46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22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23" thickBot="1" x14ac:dyDescent="0.35">
      <c r="A3" s="9" t="s">
        <v>47</v>
      </c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51" x14ac:dyDescent="0.2">
      <c r="A4" s="11" t="s">
        <v>39</v>
      </c>
      <c r="B4" s="47" t="s">
        <v>0</v>
      </c>
      <c r="C4" s="47" t="s">
        <v>41</v>
      </c>
      <c r="D4" s="51" t="s">
        <v>1</v>
      </c>
      <c r="E4" s="53" t="s">
        <v>68</v>
      </c>
      <c r="F4" s="53" t="s">
        <v>45</v>
      </c>
      <c r="G4" s="55" t="s">
        <v>2</v>
      </c>
      <c r="H4" s="57" t="s">
        <v>40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9"/>
      <c r="AF4" s="12"/>
      <c r="AG4" s="63" t="s">
        <v>3</v>
      </c>
      <c r="AH4" s="65" t="s">
        <v>4</v>
      </c>
      <c r="AI4" s="67" t="s">
        <v>5</v>
      </c>
      <c r="AJ4" s="69" t="s">
        <v>6</v>
      </c>
      <c r="AK4" s="45" t="s">
        <v>7</v>
      </c>
      <c r="AL4" s="11" t="s">
        <v>38</v>
      </c>
      <c r="AM4" s="11" t="s">
        <v>33</v>
      </c>
      <c r="AN4" s="13" t="s">
        <v>34</v>
      </c>
      <c r="AO4" s="11" t="s">
        <v>35</v>
      </c>
      <c r="AP4" s="11" t="s">
        <v>36</v>
      </c>
      <c r="AQ4" s="13" t="s">
        <v>37</v>
      </c>
    </row>
    <row r="5" spans="1:43" ht="17" thickBot="1" x14ac:dyDescent="0.25">
      <c r="A5" s="13"/>
      <c r="B5" s="48"/>
      <c r="C5" s="71"/>
      <c r="D5" s="52"/>
      <c r="E5" s="54"/>
      <c r="F5" s="54"/>
      <c r="G5" s="56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2"/>
      <c r="AF5" s="14"/>
      <c r="AG5" s="64"/>
      <c r="AH5" s="66"/>
      <c r="AI5" s="68"/>
      <c r="AJ5" s="70"/>
      <c r="AK5" s="46"/>
      <c r="AL5" s="13"/>
      <c r="AM5" s="13"/>
      <c r="AN5" s="13"/>
      <c r="AO5" s="13"/>
      <c r="AP5" s="13"/>
      <c r="AQ5" s="13"/>
    </row>
    <row r="6" spans="1:43" ht="17" thickBot="1" x14ac:dyDescent="0.25">
      <c r="A6" s="13"/>
      <c r="B6" s="36"/>
      <c r="C6" s="74" t="s">
        <v>48</v>
      </c>
      <c r="D6" s="44" t="s">
        <v>42</v>
      </c>
      <c r="E6" s="40">
        <v>0</v>
      </c>
      <c r="F6" s="40">
        <f>SUM(H7:AE7)</f>
        <v>182</v>
      </c>
      <c r="G6" s="15"/>
      <c r="H6" s="16" t="s">
        <v>8</v>
      </c>
      <c r="I6" s="16" t="s">
        <v>9</v>
      </c>
      <c r="J6" s="16" t="s">
        <v>10</v>
      </c>
      <c r="K6" s="16" t="s">
        <v>11</v>
      </c>
      <c r="L6" s="16" t="s">
        <v>12</v>
      </c>
      <c r="M6" s="16" t="s">
        <v>13</v>
      </c>
      <c r="N6" s="16" t="s">
        <v>14</v>
      </c>
      <c r="O6" s="16" t="s">
        <v>15</v>
      </c>
      <c r="P6" s="16" t="s">
        <v>16</v>
      </c>
      <c r="Q6" s="16" t="s">
        <v>17</v>
      </c>
      <c r="R6" s="16" t="s">
        <v>18</v>
      </c>
      <c r="S6" s="16" t="s">
        <v>19</v>
      </c>
      <c r="T6" s="16" t="s">
        <v>20</v>
      </c>
      <c r="U6" s="16" t="s">
        <v>21</v>
      </c>
      <c r="V6" s="16" t="s">
        <v>22</v>
      </c>
      <c r="W6" s="16" t="s">
        <v>23</v>
      </c>
      <c r="X6" s="16" t="s">
        <v>24</v>
      </c>
      <c r="Y6" s="16" t="s">
        <v>25</v>
      </c>
      <c r="Z6" s="16" t="s">
        <v>26</v>
      </c>
      <c r="AA6" s="16" t="s">
        <v>27</v>
      </c>
      <c r="AB6" s="16" t="s">
        <v>28</v>
      </c>
      <c r="AC6" s="16" t="s">
        <v>29</v>
      </c>
      <c r="AD6" s="16" t="s">
        <v>30</v>
      </c>
      <c r="AE6" s="16" t="s">
        <v>32</v>
      </c>
      <c r="AF6" s="17"/>
      <c r="AG6" s="18"/>
      <c r="AH6" s="19"/>
      <c r="AI6" s="20"/>
      <c r="AJ6" s="21"/>
      <c r="AK6" s="22"/>
      <c r="AL6" s="13"/>
      <c r="AM6" s="13"/>
      <c r="AN6" s="13"/>
      <c r="AO6" s="13"/>
      <c r="AP6" s="13"/>
      <c r="AQ6" s="13"/>
    </row>
    <row r="7" spans="1:43" ht="17" thickBot="1" x14ac:dyDescent="0.25">
      <c r="A7" s="13"/>
      <c r="B7" s="37"/>
      <c r="C7" s="73"/>
      <c r="D7" s="41"/>
      <c r="E7" s="41"/>
      <c r="F7" s="41"/>
      <c r="G7" s="23">
        <v>29</v>
      </c>
      <c r="H7" s="10">
        <v>24</v>
      </c>
      <c r="I7" s="10">
        <v>34</v>
      </c>
      <c r="J7" s="10">
        <v>24</v>
      </c>
      <c r="K7" s="10">
        <v>18</v>
      </c>
      <c r="L7" s="10">
        <v>26</v>
      </c>
      <c r="M7" s="10">
        <v>28</v>
      </c>
      <c r="N7" s="10">
        <v>28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8"/>
      <c r="AG7" s="2">
        <f>AVERAGE(H7:AE7)</f>
        <v>26</v>
      </c>
      <c r="AH7" s="3">
        <f>AG7*G7</f>
        <v>754</v>
      </c>
      <c r="AI7" s="4">
        <v>1</v>
      </c>
      <c r="AJ7" s="4">
        <f>5.4*11.6/25</f>
        <v>2.5055999999999998</v>
      </c>
      <c r="AK7" s="5">
        <f>(AH7)*1000/AJ7*AI7</f>
        <v>300925.92592592596</v>
      </c>
      <c r="AL7" s="7">
        <f>100*ABS(AH7-AH9)/AVERAGE(AH7,AH9)</f>
        <v>3.2573289902280074</v>
      </c>
      <c r="AM7" s="6">
        <f>AVERAGE(AH7,AH9)</f>
        <v>741.91666666666674</v>
      </c>
      <c r="AN7" s="7" t="e">
        <f>AM7-#REF!</f>
        <v>#REF!</v>
      </c>
      <c r="AO7" s="7">
        <f>100*AM7/1500</f>
        <v>49.461111111111116</v>
      </c>
      <c r="AP7" s="7" t="e">
        <f>100*AN7/1000</f>
        <v>#REF!</v>
      </c>
      <c r="AQ7" s="6" t="e">
        <f>AH7-#REF!</f>
        <v>#REF!</v>
      </c>
    </row>
    <row r="8" spans="1:43" ht="17" thickBot="1" x14ac:dyDescent="0.25">
      <c r="A8" s="13"/>
      <c r="B8" s="36" t="s">
        <v>49</v>
      </c>
      <c r="C8" s="72"/>
      <c r="D8" s="40" t="s">
        <v>43</v>
      </c>
      <c r="E8" s="40"/>
      <c r="F8" s="40">
        <f>SUM(H9:AE9)</f>
        <v>151</v>
      </c>
      <c r="G8" s="24"/>
      <c r="H8" s="25" t="s">
        <v>8</v>
      </c>
      <c r="I8" s="25" t="s">
        <v>9</v>
      </c>
      <c r="J8" s="25" t="s">
        <v>10</v>
      </c>
      <c r="K8" s="25" t="s">
        <v>11</v>
      </c>
      <c r="L8" s="25" t="s">
        <v>12</v>
      </c>
      <c r="M8" s="25" t="s">
        <v>13</v>
      </c>
      <c r="N8" s="25" t="s">
        <v>14</v>
      </c>
      <c r="O8" s="25" t="s">
        <v>15</v>
      </c>
      <c r="P8" s="25" t="s">
        <v>16</v>
      </c>
      <c r="Q8" s="25" t="s">
        <v>17</v>
      </c>
      <c r="R8" s="25" t="s">
        <v>18</v>
      </c>
      <c r="S8" s="25" t="s">
        <v>19</v>
      </c>
      <c r="T8" s="25" t="s">
        <v>20</v>
      </c>
      <c r="U8" s="25" t="s">
        <v>21</v>
      </c>
      <c r="V8" s="25" t="s">
        <v>22</v>
      </c>
      <c r="W8" s="25" t="s">
        <v>23</v>
      </c>
      <c r="X8" s="25" t="s">
        <v>24</v>
      </c>
      <c r="Y8" s="25" t="s">
        <v>25</v>
      </c>
      <c r="Z8" s="25" t="s">
        <v>26</v>
      </c>
      <c r="AA8" s="25" t="s">
        <v>27</v>
      </c>
      <c r="AB8" s="25" t="s">
        <v>28</v>
      </c>
      <c r="AC8" s="25" t="s">
        <v>29</v>
      </c>
      <c r="AD8" s="25" t="s">
        <v>30</v>
      </c>
      <c r="AE8" s="26" t="s">
        <v>31</v>
      </c>
      <c r="AF8" s="27"/>
      <c r="AG8" s="28"/>
      <c r="AH8" s="19"/>
      <c r="AI8" s="20"/>
      <c r="AJ8" s="21"/>
      <c r="AK8" s="22"/>
      <c r="AL8" s="13"/>
      <c r="AM8" s="13"/>
      <c r="AN8" s="13"/>
      <c r="AO8" s="13"/>
      <c r="AP8" s="13"/>
      <c r="AQ8" s="29"/>
    </row>
    <row r="9" spans="1:43" ht="17" thickBot="1" x14ac:dyDescent="0.25">
      <c r="A9" s="13"/>
      <c r="B9" s="37"/>
      <c r="C9" s="73"/>
      <c r="D9" s="41"/>
      <c r="E9" s="41"/>
      <c r="F9" s="41"/>
      <c r="G9" s="23">
        <v>29</v>
      </c>
      <c r="H9" s="10">
        <v>25</v>
      </c>
      <c r="I9" s="10">
        <v>29</v>
      </c>
      <c r="J9" s="10">
        <v>26</v>
      </c>
      <c r="K9" s="10">
        <v>25</v>
      </c>
      <c r="L9" s="10">
        <v>22</v>
      </c>
      <c r="M9" s="10">
        <v>24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2">
        <f>AVERAGE(H9:AE9)</f>
        <v>25.166666666666668</v>
      </c>
      <c r="AH9" s="3">
        <f>AG9*G9</f>
        <v>729.83333333333337</v>
      </c>
      <c r="AI9" s="4">
        <v>1</v>
      </c>
      <c r="AJ9" s="4">
        <f>5.4*11.6/25</f>
        <v>2.5055999999999998</v>
      </c>
      <c r="AK9" s="5">
        <f>(AH9)*1000/AJ9*AI9</f>
        <v>291280.8641975309</v>
      </c>
      <c r="AL9" s="7"/>
      <c r="AM9" s="6">
        <f>AVERAGE(AH9,AH11)</f>
        <v>729.83333333333337</v>
      </c>
      <c r="AN9" s="7" t="e">
        <f>AM9-#REF!</f>
        <v>#REF!</v>
      </c>
      <c r="AO9" s="7">
        <f>100*AM9/1500</f>
        <v>48.655555555555559</v>
      </c>
      <c r="AP9" s="7" t="e">
        <f>100*AN9/1000</f>
        <v>#REF!</v>
      </c>
      <c r="AQ9" s="6" t="e">
        <f>AH9-#REF!</f>
        <v>#REF!</v>
      </c>
    </row>
    <row r="10" spans="1:43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17" thickBot="1" x14ac:dyDescent="0.25">
      <c r="A11" s="13"/>
      <c r="B11" s="36"/>
      <c r="C11" s="74" t="s">
        <v>44</v>
      </c>
      <c r="D11" s="44" t="s">
        <v>42</v>
      </c>
      <c r="E11" s="44"/>
      <c r="F11" s="40">
        <f>SUM(H12:AE12)</f>
        <v>0</v>
      </c>
      <c r="G11" s="15"/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32</v>
      </c>
      <c r="AF11" s="17"/>
      <c r="AG11" s="18"/>
      <c r="AH11" s="30"/>
      <c r="AI11" s="31"/>
      <c r="AJ11" s="32"/>
      <c r="AK11" s="22"/>
      <c r="AL11" s="13"/>
      <c r="AM11" s="13"/>
      <c r="AN11" s="13"/>
      <c r="AO11" s="13"/>
      <c r="AP11" s="13"/>
      <c r="AQ11" s="13"/>
    </row>
    <row r="12" spans="1:43" ht="17" thickBot="1" x14ac:dyDescent="0.25">
      <c r="A12" s="13"/>
      <c r="B12" s="37"/>
      <c r="C12" s="73"/>
      <c r="D12" s="41"/>
      <c r="E12" s="41"/>
      <c r="F12" s="41"/>
      <c r="G12" s="23">
        <v>29</v>
      </c>
      <c r="H12" s="10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8"/>
      <c r="AG12" s="2">
        <f>AVERAGE(H12:AE12)</f>
        <v>0</v>
      </c>
      <c r="AH12" s="3">
        <f>AG12*G12</f>
        <v>0</v>
      </c>
      <c r="AI12" s="4">
        <v>1</v>
      </c>
      <c r="AJ12" s="4">
        <f>5.4*11.6/25</f>
        <v>2.5055999999999998</v>
      </c>
      <c r="AK12" s="5">
        <f>(AH12)*1000/AJ12*AI12</f>
        <v>0</v>
      </c>
      <c r="AL12" s="7" t="e">
        <f>100*ABS(AH12-#REF!)/AVERAGE(AH12,#REF!)</f>
        <v>#REF!</v>
      </c>
      <c r="AM12" s="6" t="e">
        <f>AVERAGE(AH12,#REF!)</f>
        <v>#REF!</v>
      </c>
      <c r="AN12" s="7" t="e">
        <f>AM12-#REF!</f>
        <v>#REF!</v>
      </c>
      <c r="AO12" s="7" t="e">
        <f>100*AM12/1500</f>
        <v>#REF!</v>
      </c>
      <c r="AP12" s="7" t="e">
        <f>100*AN12/1000</f>
        <v>#REF!</v>
      </c>
      <c r="AQ12" s="6" t="e">
        <f>AH12-#REF!</f>
        <v>#REF!</v>
      </c>
    </row>
    <row r="16" spans="1:43" ht="17" thickBot="1" x14ac:dyDescent="0.25">
      <c r="A16" s="13"/>
      <c r="B16" s="36"/>
      <c r="C16" s="74" t="s">
        <v>48</v>
      </c>
      <c r="D16" s="44" t="s">
        <v>42</v>
      </c>
      <c r="E16" s="40">
        <v>0</v>
      </c>
      <c r="F16" s="40">
        <f>SUM(H17:AE17)</f>
        <v>0</v>
      </c>
      <c r="G16" s="15"/>
      <c r="H16" s="16" t="s">
        <v>8</v>
      </c>
      <c r="I16" s="16" t="s">
        <v>9</v>
      </c>
      <c r="J16" s="16" t="s">
        <v>10</v>
      </c>
      <c r="K16" s="16" t="s">
        <v>11</v>
      </c>
      <c r="L16" s="16" t="s">
        <v>12</v>
      </c>
      <c r="M16" s="16" t="s">
        <v>13</v>
      </c>
      <c r="N16" s="16" t="s">
        <v>14</v>
      </c>
      <c r="O16" s="16" t="s">
        <v>15</v>
      </c>
      <c r="P16" s="16" t="s">
        <v>16</v>
      </c>
      <c r="Q16" s="16" t="s">
        <v>17</v>
      </c>
      <c r="R16" s="16" t="s">
        <v>18</v>
      </c>
      <c r="S16" s="16" t="s">
        <v>19</v>
      </c>
      <c r="T16" s="16" t="s">
        <v>20</v>
      </c>
      <c r="U16" s="16" t="s">
        <v>21</v>
      </c>
      <c r="V16" s="16" t="s">
        <v>22</v>
      </c>
      <c r="W16" s="16" t="s">
        <v>23</v>
      </c>
      <c r="X16" s="16" t="s">
        <v>24</v>
      </c>
      <c r="Y16" s="16" t="s">
        <v>25</v>
      </c>
      <c r="Z16" s="16" t="s">
        <v>26</v>
      </c>
      <c r="AA16" s="16" t="s">
        <v>27</v>
      </c>
      <c r="AB16" s="16" t="s">
        <v>28</v>
      </c>
      <c r="AC16" s="16" t="s">
        <v>29</v>
      </c>
      <c r="AD16" s="16" t="s">
        <v>30</v>
      </c>
      <c r="AE16" s="16" t="s">
        <v>32</v>
      </c>
      <c r="AF16" s="17"/>
      <c r="AG16" s="18"/>
      <c r="AH16" s="19"/>
      <c r="AI16" s="20"/>
      <c r="AJ16" s="21"/>
      <c r="AK16" s="22"/>
      <c r="AL16" s="13"/>
      <c r="AM16" s="13"/>
      <c r="AN16" s="13"/>
      <c r="AO16" s="13"/>
      <c r="AP16" s="13"/>
      <c r="AQ16" s="13"/>
    </row>
    <row r="17" spans="1:43" ht="17" thickBot="1" x14ac:dyDescent="0.25">
      <c r="A17" s="13"/>
      <c r="B17" s="37"/>
      <c r="C17" s="73"/>
      <c r="D17" s="41"/>
      <c r="E17" s="41"/>
      <c r="F17" s="41"/>
      <c r="G17" s="23">
        <v>29</v>
      </c>
      <c r="H17" s="10">
        <v>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8"/>
      <c r="AG17" s="2">
        <f>AVERAGE(H17:AE17)</f>
        <v>0</v>
      </c>
      <c r="AH17" s="3">
        <f>AG17*G17</f>
        <v>0</v>
      </c>
      <c r="AI17" s="4">
        <v>1</v>
      </c>
      <c r="AJ17" s="4">
        <f>5.4*11.6/25</f>
        <v>2.5055999999999998</v>
      </c>
      <c r="AK17" s="5">
        <f>(AH17)*1000/AJ17*AI17</f>
        <v>0</v>
      </c>
      <c r="AL17" s="7">
        <f>100*ABS(AH17-AH19)/AVERAGE(AH17,AH19)</f>
        <v>200</v>
      </c>
      <c r="AM17" s="6">
        <f>AVERAGE(AH17,AH19)</f>
        <v>14.5</v>
      </c>
      <c r="AN17" s="7" t="e">
        <f>AM17-#REF!</f>
        <v>#REF!</v>
      </c>
      <c r="AO17" s="7">
        <f>100*AM17/1500</f>
        <v>0.96666666666666667</v>
      </c>
      <c r="AP17" s="7" t="e">
        <f>100*AN17/1000</f>
        <v>#REF!</v>
      </c>
      <c r="AQ17" s="6" t="e">
        <f>AH17-#REF!</f>
        <v>#REF!</v>
      </c>
    </row>
    <row r="18" spans="1:43" ht="17" thickBot="1" x14ac:dyDescent="0.25">
      <c r="A18" s="13"/>
      <c r="B18" s="36" t="s">
        <v>49</v>
      </c>
      <c r="C18" s="72"/>
      <c r="D18" s="40" t="s">
        <v>43</v>
      </c>
      <c r="E18" s="40"/>
      <c r="F18" s="40">
        <f>SUM(H19:AE19)</f>
        <v>1</v>
      </c>
      <c r="G18" s="24"/>
      <c r="H18" s="25" t="s">
        <v>8</v>
      </c>
      <c r="I18" s="25" t="s">
        <v>9</v>
      </c>
      <c r="J18" s="25" t="s">
        <v>10</v>
      </c>
      <c r="K18" s="25" t="s">
        <v>11</v>
      </c>
      <c r="L18" s="25" t="s">
        <v>12</v>
      </c>
      <c r="M18" s="25" t="s">
        <v>13</v>
      </c>
      <c r="N18" s="25" t="s">
        <v>14</v>
      </c>
      <c r="O18" s="25" t="s">
        <v>15</v>
      </c>
      <c r="P18" s="25" t="s">
        <v>16</v>
      </c>
      <c r="Q18" s="25" t="s">
        <v>17</v>
      </c>
      <c r="R18" s="25" t="s">
        <v>18</v>
      </c>
      <c r="S18" s="25" t="s">
        <v>19</v>
      </c>
      <c r="T18" s="25" t="s">
        <v>20</v>
      </c>
      <c r="U18" s="25" t="s">
        <v>21</v>
      </c>
      <c r="V18" s="25" t="s">
        <v>22</v>
      </c>
      <c r="W18" s="25" t="s">
        <v>23</v>
      </c>
      <c r="X18" s="25" t="s">
        <v>24</v>
      </c>
      <c r="Y18" s="25" t="s">
        <v>25</v>
      </c>
      <c r="Z18" s="25" t="s">
        <v>26</v>
      </c>
      <c r="AA18" s="25" t="s">
        <v>27</v>
      </c>
      <c r="AB18" s="25" t="s">
        <v>28</v>
      </c>
      <c r="AC18" s="25" t="s">
        <v>29</v>
      </c>
      <c r="AD18" s="25" t="s">
        <v>30</v>
      </c>
      <c r="AE18" s="26" t="s">
        <v>31</v>
      </c>
      <c r="AF18" s="27"/>
      <c r="AG18" s="28"/>
      <c r="AH18" s="19"/>
      <c r="AI18" s="20"/>
      <c r="AJ18" s="21"/>
      <c r="AK18" s="22"/>
      <c r="AL18" s="13"/>
      <c r="AM18" s="13"/>
      <c r="AN18" s="13"/>
      <c r="AO18" s="13"/>
      <c r="AP18" s="13"/>
      <c r="AQ18" s="29"/>
    </row>
    <row r="19" spans="1:43" ht="17" thickBot="1" x14ac:dyDescent="0.25">
      <c r="A19" s="13"/>
      <c r="B19" s="37"/>
      <c r="C19" s="73"/>
      <c r="D19" s="41"/>
      <c r="E19" s="41"/>
      <c r="F19" s="41"/>
      <c r="G19" s="23">
        <v>29</v>
      </c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2">
        <f>AVERAGE(H19:AE19)</f>
        <v>1</v>
      </c>
      <c r="AH19" s="3">
        <f>AG19*G19</f>
        <v>29</v>
      </c>
      <c r="AI19" s="4">
        <v>1</v>
      </c>
      <c r="AJ19" s="4">
        <f>5.4*11.6/25</f>
        <v>2.5055999999999998</v>
      </c>
      <c r="AK19" s="5">
        <f>(AH19)*1000/AJ19*AI19</f>
        <v>11574.074074074075</v>
      </c>
      <c r="AL19" s="7"/>
      <c r="AM19" s="6">
        <f>AVERAGE(AH19,AH21)</f>
        <v>29</v>
      </c>
      <c r="AN19" s="7" t="e">
        <f>AM19-#REF!</f>
        <v>#REF!</v>
      </c>
      <c r="AO19" s="7">
        <f>100*AM19/1500</f>
        <v>1.9333333333333333</v>
      </c>
      <c r="AP19" s="7" t="e">
        <f>100*AN19/1000</f>
        <v>#REF!</v>
      </c>
      <c r="AQ19" s="6" t="e">
        <f>AH19-#REF!</f>
        <v>#REF!</v>
      </c>
    </row>
    <row r="20" spans="1:43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 spans="1:43" ht="17" thickBot="1" x14ac:dyDescent="0.25">
      <c r="A21" s="13"/>
      <c r="B21" s="36"/>
      <c r="C21" s="74" t="s">
        <v>44</v>
      </c>
      <c r="D21" s="44" t="s">
        <v>42</v>
      </c>
      <c r="E21" s="44"/>
      <c r="F21" s="40">
        <f>SUM(H22:AE22)</f>
        <v>0</v>
      </c>
      <c r="G21" s="15"/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  <c r="Q21" s="1" t="s">
        <v>17</v>
      </c>
      <c r="R21" s="1" t="s">
        <v>18</v>
      </c>
      <c r="S21" s="1" t="s">
        <v>19</v>
      </c>
      <c r="T21" s="1" t="s">
        <v>20</v>
      </c>
      <c r="U21" s="1" t="s">
        <v>21</v>
      </c>
      <c r="V21" s="1" t="s">
        <v>22</v>
      </c>
      <c r="W21" s="1" t="s">
        <v>23</v>
      </c>
      <c r="X21" s="1" t="s">
        <v>24</v>
      </c>
      <c r="Y21" s="1" t="s">
        <v>25</v>
      </c>
      <c r="Z21" s="1" t="s">
        <v>26</v>
      </c>
      <c r="AA21" s="1" t="s">
        <v>27</v>
      </c>
      <c r="AB21" s="1" t="s">
        <v>28</v>
      </c>
      <c r="AC21" s="1" t="s">
        <v>29</v>
      </c>
      <c r="AD21" s="1" t="s">
        <v>30</v>
      </c>
      <c r="AE21" s="1" t="s">
        <v>32</v>
      </c>
      <c r="AF21" s="17"/>
      <c r="AG21" s="18"/>
      <c r="AH21" s="30"/>
      <c r="AI21" s="31"/>
      <c r="AJ21" s="32"/>
      <c r="AK21" s="22"/>
      <c r="AL21" s="13"/>
      <c r="AM21" s="13"/>
      <c r="AN21" s="13"/>
      <c r="AO21" s="13"/>
      <c r="AP21" s="13"/>
      <c r="AQ21" s="13"/>
    </row>
    <row r="22" spans="1:43" ht="17" thickBot="1" x14ac:dyDescent="0.25">
      <c r="A22" s="13"/>
      <c r="B22" s="37"/>
      <c r="C22" s="73"/>
      <c r="D22" s="41"/>
      <c r="E22" s="41"/>
      <c r="F22" s="41"/>
      <c r="G22" s="23">
        <v>29</v>
      </c>
      <c r="H22" s="10">
        <v>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8"/>
      <c r="AG22" s="2">
        <f>AVERAGE(H22:AE22)</f>
        <v>0</v>
      </c>
      <c r="AH22" s="3">
        <f>AG22*G22</f>
        <v>0</v>
      </c>
      <c r="AI22" s="4">
        <v>1</v>
      </c>
      <c r="AJ22" s="4">
        <f>5.4*11.6/25</f>
        <v>2.5055999999999998</v>
      </c>
      <c r="AK22" s="5">
        <f>(AH22)*1000/AJ22*AI22</f>
        <v>0</v>
      </c>
      <c r="AL22" s="7" t="e">
        <f>100*ABS(AH22-#REF!)/AVERAGE(AH22,#REF!)</f>
        <v>#REF!</v>
      </c>
      <c r="AM22" s="6" t="e">
        <f>AVERAGE(AH22,#REF!)</f>
        <v>#REF!</v>
      </c>
      <c r="AN22" s="7" t="e">
        <f>AM22-#REF!</f>
        <v>#REF!</v>
      </c>
      <c r="AO22" s="7" t="e">
        <f>100*AM22/1500</f>
        <v>#REF!</v>
      </c>
      <c r="AP22" s="7" t="e">
        <f>100*AN22/1000</f>
        <v>#REF!</v>
      </c>
      <c r="AQ22" s="6" t="e">
        <f>AH22-#REF!</f>
        <v>#REF!</v>
      </c>
    </row>
  </sheetData>
  <mergeCells count="42">
    <mergeCell ref="B21:B22"/>
    <mergeCell ref="C21:C22"/>
    <mergeCell ref="D21:D22"/>
    <mergeCell ref="E21:E22"/>
    <mergeCell ref="F21:F22"/>
    <mergeCell ref="B18:B19"/>
    <mergeCell ref="C18:C19"/>
    <mergeCell ref="D18:D19"/>
    <mergeCell ref="E18:E19"/>
    <mergeCell ref="F18:F19"/>
    <mergeCell ref="B16:B17"/>
    <mergeCell ref="C16:C17"/>
    <mergeCell ref="D16:D17"/>
    <mergeCell ref="E16:E17"/>
    <mergeCell ref="F16:F17"/>
    <mergeCell ref="B11:B12"/>
    <mergeCell ref="C11:C12"/>
    <mergeCell ref="D11:D12"/>
    <mergeCell ref="E11:E12"/>
    <mergeCell ref="F11:F12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AK4:AK5"/>
    <mergeCell ref="B4:B5"/>
    <mergeCell ref="C4:C5"/>
    <mergeCell ref="D4:D5"/>
    <mergeCell ref="E4:E5"/>
    <mergeCell ref="F4:F5"/>
    <mergeCell ref="G4:G5"/>
    <mergeCell ref="H4:AE5"/>
    <mergeCell ref="AG4:AG5"/>
    <mergeCell ref="AH4:AH5"/>
    <mergeCell ref="AI4:AI5"/>
    <mergeCell ref="AJ4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Clade B</vt:lpstr>
      <vt:lpstr>Clade A</vt:lpstr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Khavin</dc:creator>
  <cp:lastModifiedBy>Elena Khavin</cp:lastModifiedBy>
  <cp:lastPrinted>2025-05-26T13:28:31Z</cp:lastPrinted>
  <dcterms:created xsi:type="dcterms:W3CDTF">2024-06-02T10:22:25Z</dcterms:created>
  <dcterms:modified xsi:type="dcterms:W3CDTF">2026-10-04T10:10:39Z</dcterms:modified>
</cp:coreProperties>
</file>