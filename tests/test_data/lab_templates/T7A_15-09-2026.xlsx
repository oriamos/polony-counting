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A99364EB-B65C-6C4C-9247-FAB3F9A42AC1}" xr6:coauthVersionLast="47" xr6:coauthVersionMax="47" xr10:uidLastSave="{00000000-0000-0000-0000-000000000000}"/>
  <bookViews>
    <workbookView xWindow="32660" yWindow="2620" windowWidth="30240" windowHeight="18980" xr2:uid="{00000000-000D-0000-FFFF-FFFF00000000}"/>
  </bookViews>
  <sheets>
    <sheet name="ClD_forE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<sst xmlns="http://schemas.openxmlformats.org/spreadsheetml/2006/main" count="57" uniqueCount="57">
  <si>
    <t>slide ID</t>
  </si>
  <si>
    <t>SAMPLING DATE</t>
  </si>
  <si>
    <t xml:space="preserve">POLONY DATE </t>
  </si>
  <si>
    <t>CONCENTRATION FACTOR</t>
  </si>
  <si>
    <t>SAMPLE VOLUM[ul]</t>
  </si>
  <si>
    <t>field [Pixel^2]</t>
  </si>
  <si>
    <t>grid [Pixel^2]</t>
  </si>
  <si>
    <t>FAGE ABUNDENCE [fage mL-1]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</si>
  <si>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</si>
  <si>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</si>
  <si>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</si>
  <si>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</si>
  <si>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</si>
  <si>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</si>
  <si>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</si>
  <si>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</si>
  <si>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9</t>
  </si>
  <si>
    <t>field 10</t>
  </si>
  <si>
    <t>field 11</t>
  </si>
  <si>
    <t>field 12</t>
  </si>
  <si>
    <t>field 13</t>
  </si>
  <si>
    <t>field 14</t>
  </si>
  <si>
    <t>field 15</t>
  </si>
  <si>
    <t>field 16</t>
  </si>
  <si>
    <t>field 17</t>
  </si>
  <si>
    <t>field 18</t>
  </si>
  <si>
    <t>field 19</t>
  </si>
  <si>
    <t>field 20</t>
  </si>
  <si>
    <t>field 21</t>
  </si>
  <si>
    <t>field 22</t>
  </si>
  <si>
    <t>field 23</t>
  </si>
  <si>
    <t>field 24</t>
  </si>
  <si>
    <t>QC</t>
  </si>
  <si>
    <t>AI_A</t>
  </si>
  <si>
    <t>AI_B</t>
  </si>
  <si>
    <t>AS_A</t>
  </si>
  <si>
    <t>AS_B</t>
  </si>
  <si>
    <t>AM_A</t>
  </si>
  <si>
    <t>AM_B</t>
  </si>
  <si>
    <t>PI_A</t>
  </si>
  <si>
    <t>PI_B</t>
  </si>
  <si>
    <t>PS_A</t>
  </si>
  <si>
    <t>PS_B</t>
  </si>
  <si>
    <t>PM_A</t>
  </si>
  <si>
    <t>PM_B</t>
  </si>
  <si>
    <t>HI_A</t>
  </si>
  <si>
    <t>HI_B</t>
  </si>
  <si>
    <t>HS_A</t>
  </si>
  <si>
    <t>HS_B</t>
  </si>
  <si>
    <t>HM_A</t>
  </si>
  <si>
    <t>HM_B</t>
  </si>
  <si>
    <t>QI_A</t>
  </si>
  <si>
    <t>QI_B</t>
  </si>
  <si>
    <t>QS_A</t>
  </si>
  <si>
    <t>QS_B</t>
  </si>
  <si>
    <t>QM_A</t>
  </si>
  <si>
    <t>QM_B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</si>
</sst>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workbookViewId="0">
      <selection activeCell="A2" sqref="A2:I25"/>
    </sheetView>
  </sheetViews>
  <sheetFormatPr baseColWidth="10" defaultColWidth="8.83203125" defaultRowHeight="15" x14ac:dyDescent="0.2"/>
  <cols>
    <col min="1" max="1" width="8" bestFit="1" customWidth="1"/>
    <col min="2" max="2" width="13.33203125" bestFit="1" customWidth="1"/>
    <col min="3" max="3" width="11.83203125" bestFit="1" customWidth="1"/>
    <col min="4" max="4" width="20.33203125" bestFit="1" customWidth="1"/>
    <col min="5" max="5" width="15.6640625" bestFit="1" customWidth="1"/>
    <col min="6" max="6" width="11.33203125" bestFit="1" customWidth="1"/>
    <col min="7" max="7" width="11" bestFit="1" customWidth="1"/>
    <col min="8" max="8" width="11" customWidth="1"/>
    <col min="9" max="9" width="23.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ht="16" x14ac:dyDescent="0.2">
      <c r="A2" t="s">
        <v>33</v>
      </c>
      <c r="B2" s="1">
        <v>46280</v>
      </c>
      <c r="C2" s="1">
        <v>46294</v>
      </c>
      <c r="D2">
        <v>1</v>
      </c>
      <c r="E2">
        <v>2.5</v>
      </c>
      <c r="F2">
        <v>2.9</v>
      </c>
      <c r="G2">
        <v>0.1</v>
      </c>
      <c r="H2">
        <v>1</v>
      </c>
      <c r="I2">
        <f t="shared" ref="I2:I13" si="0">AVERAGE(J2:AG2)*(F2/G2)/E2*1000</f>
        <v>2577.7777777777769</v>
      </c>
      <c r="J2">
        <v>1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/>
      <c r="AC2" s="2"/>
      <c r="AD2" s="2"/>
      <c r="AE2" s="2"/>
      <c r="AF2" s="2"/>
      <c r="AG2" s="2"/>
    </row>
    <row r="3" spans="1:33" x14ac:dyDescent="0.2">
      <c r="A3" t="s">
        <v>34</v>
      </c>
      <c r="B3" s="1">
        <v>46280</v>
      </c>
      <c r="C3" s="1">
        <v>46294</v>
      </c>
      <c r="D3">
        <v>1</v>
      </c>
      <c r="E3">
        <v>2.5</v>
      </c>
      <c r="F3">
        <v>2.9</v>
      </c>
      <c r="G3">
        <v>0.1</v>
      </c>
      <c r="H3">
        <v>1</v>
      </c>
      <c r="I3">
        <f t="shared" si="0"/>
        <v>9552.9411764705856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3</v>
      </c>
      <c r="Q3">
        <v>0</v>
      </c>
      <c r="R3">
        <v>0</v>
      </c>
      <c r="S3">
        <v>2</v>
      </c>
      <c r="T3">
        <v>2</v>
      </c>
      <c r="U3">
        <v>0</v>
      </c>
      <c r="V3">
        <v>0</v>
      </c>
      <c r="W3">
        <v>1</v>
      </c>
      <c r="X3">
        <v>1</v>
      </c>
      <c r="Y3">
        <v>2</v>
      </c>
      <c r="Z3">
        <v>1</v>
      </c>
    </row>
    <row r="4" spans="1:33" x14ac:dyDescent="0.2">
      <c r="A4" t="s">
        <v>35</v>
      </c>
      <c r="B4" s="1">
        <v>46280</v>
      </c>
      <c r="C4" s="1">
        <v>46294</v>
      </c>
      <c r="D4">
        <v>1</v>
      </c>
      <c r="E4">
        <v>2.5</v>
      </c>
      <c r="F4">
        <v>2.9</v>
      </c>
      <c r="G4">
        <v>0.1</v>
      </c>
      <c r="H4">
        <v>1</v>
      </c>
      <c r="I4">
        <f t="shared" si="0"/>
        <v>1581.8181818181815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3" x14ac:dyDescent="0.2">
      <c r="A5" t="s">
        <v>36</v>
      </c>
      <c r="B5" s="1">
        <v>46280</v>
      </c>
      <c r="C5" s="1">
        <v>46294</v>
      </c>
      <c r="D5">
        <v>1</v>
      </c>
      <c r="E5">
        <v>2.5</v>
      </c>
      <c r="F5">
        <v>2.9</v>
      </c>
      <c r="G5">
        <v>0.1</v>
      </c>
      <c r="H5">
        <v>1</v>
      </c>
      <c r="I5">
        <f t="shared" si="0"/>
        <v>644.44444444444423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33" x14ac:dyDescent="0.2">
      <c r="A6" t="s">
        <v>37</v>
      </c>
      <c r="B6" s="1">
        <v>46280</v>
      </c>
      <c r="C6" s="1">
        <v>46294</v>
      </c>
      <c r="D6">
        <v>1</v>
      </c>
      <c r="E6">
        <v>2.5</v>
      </c>
      <c r="F6">
        <v>2.9</v>
      </c>
      <c r="G6">
        <v>0.1</v>
      </c>
      <c r="H6">
        <v>1</v>
      </c>
      <c r="I6">
        <f t="shared" si="0"/>
        <v>2729.411764705882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33" x14ac:dyDescent="0.2">
      <c r="A7" t="s">
        <v>38</v>
      </c>
      <c r="B7" s="1">
        <v>46280</v>
      </c>
      <c r="C7" s="1">
        <v>46294</v>
      </c>
      <c r="D7">
        <v>1</v>
      </c>
      <c r="E7">
        <v>2.5</v>
      </c>
      <c r="F7">
        <v>2.9</v>
      </c>
      <c r="G7">
        <v>0.1</v>
      </c>
      <c r="H7">
        <v>1</v>
      </c>
      <c r="I7">
        <f t="shared" si="0"/>
        <v>1104.7619047619046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3" x14ac:dyDescent="0.2">
      <c r="A8" t="s">
        <v>39</v>
      </c>
      <c r="B8" s="1">
        <v>46280</v>
      </c>
      <c r="C8" s="1">
        <v>46294</v>
      </c>
      <c r="D8">
        <v>1</v>
      </c>
      <c r="E8">
        <v>2.5</v>
      </c>
      <c r="F8">
        <v>2.9</v>
      </c>
      <c r="G8">
        <v>0.1</v>
      </c>
      <c r="H8">
        <v>1</v>
      </c>
      <c r="I8">
        <f t="shared" si="0"/>
        <v>2899.9999999999995</v>
      </c>
      <c r="J8">
        <v>2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33" x14ac:dyDescent="0.2">
      <c r="A9" t="s">
        <v>40</v>
      </c>
      <c r="B9" s="1">
        <v>46280</v>
      </c>
      <c r="C9" s="1">
        <v>46294</v>
      </c>
      <c r="D9">
        <v>1</v>
      </c>
      <c r="E9">
        <v>2.5</v>
      </c>
      <c r="F9">
        <v>2.9</v>
      </c>
      <c r="G9">
        <v>0.1</v>
      </c>
      <c r="H9">
        <v>1</v>
      </c>
      <c r="I9">
        <f t="shared" si="0"/>
        <v>2320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33" x14ac:dyDescent="0.2">
      <c r="A10" t="s">
        <v>41</v>
      </c>
      <c r="B10" s="1">
        <v>46280</v>
      </c>
      <c r="C10" s="1">
        <v>46294</v>
      </c>
      <c r="D10">
        <v>1</v>
      </c>
      <c r="E10">
        <v>2.5</v>
      </c>
      <c r="F10">
        <v>2.9</v>
      </c>
      <c r="G10">
        <v>0.1</v>
      </c>
      <c r="H10">
        <v>1</v>
      </c>
      <c r="I10">
        <f t="shared" si="0"/>
        <v>13533.333333333332</v>
      </c>
      <c r="J10">
        <v>3</v>
      </c>
      <c r="K10">
        <v>2</v>
      </c>
      <c r="L10">
        <v>2</v>
      </c>
      <c r="M10">
        <v>0</v>
      </c>
      <c r="N10">
        <v>0</v>
      </c>
      <c r="O10">
        <v>0</v>
      </c>
    </row>
    <row r="11" spans="1:33" x14ac:dyDescent="0.2">
      <c r="A11" t="s">
        <v>42</v>
      </c>
      <c r="B11" s="1">
        <v>46280</v>
      </c>
      <c r="C11" s="1">
        <v>46294</v>
      </c>
      <c r="D11">
        <v>1</v>
      </c>
      <c r="E11">
        <v>2.5</v>
      </c>
      <c r="F11">
        <v>2.9</v>
      </c>
      <c r="G11">
        <v>0.1</v>
      </c>
      <c r="H11">
        <v>1</v>
      </c>
      <c r="I11">
        <f t="shared" si="0"/>
        <v>1160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33" x14ac:dyDescent="0.2">
      <c r="A12" t="s">
        <v>43</v>
      </c>
      <c r="B12" s="1">
        <v>46280</v>
      </c>
      <c r="C12" s="1">
        <v>46294</v>
      </c>
      <c r="D12">
        <v>1</v>
      </c>
      <c r="E12">
        <v>2.5</v>
      </c>
      <c r="F12">
        <v>2.9</v>
      </c>
      <c r="G12">
        <v>0.1</v>
      </c>
      <c r="H12">
        <v>1</v>
      </c>
      <c r="I12">
        <f t="shared" si="0"/>
        <v>11599.999999999998</v>
      </c>
      <c r="J12">
        <v>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33" x14ac:dyDescent="0.2">
      <c r="A13" t="s">
        <v>44</v>
      </c>
      <c r="B13" s="1">
        <v>46280</v>
      </c>
      <c r="C13" s="1">
        <v>46294</v>
      </c>
      <c r="D13">
        <v>1</v>
      </c>
      <c r="E13">
        <v>2.5</v>
      </c>
      <c r="F13">
        <v>2.9</v>
      </c>
      <c r="G13">
        <v>0.1</v>
      </c>
      <c r="H13">
        <v>1</v>
      </c>
      <c r="I13">
        <f t="shared" si="0"/>
        <v>5155.5555555555538</v>
      </c>
      <c r="J13">
        <v>0</v>
      </c>
      <c r="K13">
        <v>1</v>
      </c>
      <c r="L13">
        <v>0</v>
      </c>
      <c r="M13">
        <v>2</v>
      </c>
      <c r="N13">
        <v>0</v>
      </c>
      <c r="O13">
        <v>1</v>
      </c>
      <c r="P13">
        <v>0</v>
      </c>
      <c r="Q13">
        <v>0</v>
      </c>
      <c r="R13">
        <v>0</v>
      </c>
    </row>
    <row r="14" spans="1:33" x14ac:dyDescent="0.2">
      <c r="A14" t="s">
        <v>45</v>
      </c>
      <c r="B14" s="1">
        <v>46280</v>
      </c>
      <c r="C14" s="1">
        <v>46294</v>
      </c>
      <c r="D14">
        <v>1</v>
      </c>
      <c r="E14">
        <v>2.5</v>
      </c>
      <c r="F14">
        <v>2.9</v>
      </c>
      <c r="G14">
        <v>0.1</v>
      </c>
      <c r="H14">
        <v>1</v>
      </c>
      <c r="I14">
        <f t="shared" ref="I14:I25" si="1">AVERAGE(J14:AG14)*(F14/G14)/E14*1000</f>
        <v>5799.9999999999991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3" x14ac:dyDescent="0.2">
      <c r="A15" t="s">
        <v>46</v>
      </c>
      <c r="B15" s="1">
        <v>46280</v>
      </c>
      <c r="C15" s="1">
        <v>46294</v>
      </c>
      <c r="D15">
        <v>1</v>
      </c>
      <c r="E15">
        <v>2.5</v>
      </c>
      <c r="F15">
        <v>2.9</v>
      </c>
      <c r="G15">
        <v>0.1</v>
      </c>
      <c r="H15">
        <v>1</v>
      </c>
      <c r="I15">
        <f t="shared" si="1"/>
        <v>8119.9999999999991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2</v>
      </c>
      <c r="S15">
        <v>2</v>
      </c>
    </row>
    <row r="16" spans="1:33" x14ac:dyDescent="0.2">
      <c r="A16" t="s">
        <v>47</v>
      </c>
      <c r="B16" s="1">
        <v>46280</v>
      </c>
      <c r="C16" s="1">
        <v>46294</v>
      </c>
      <c r="D16">
        <v>1</v>
      </c>
      <c r="E16">
        <v>2.5</v>
      </c>
      <c r="F16">
        <v>2.9</v>
      </c>
      <c r="G16">
        <v>0.1</v>
      </c>
      <c r="H16">
        <v>1</v>
      </c>
      <c r="I16">
        <f t="shared" si="1"/>
        <v>6766.6666666666661</v>
      </c>
      <c r="J16">
        <v>1</v>
      </c>
      <c r="K16">
        <v>2</v>
      </c>
      <c r="L16">
        <v>1</v>
      </c>
      <c r="M16">
        <v>1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33" x14ac:dyDescent="0.2">
      <c r="A17" t="s">
        <v>48</v>
      </c>
      <c r="B17" s="1">
        <v>46280</v>
      </c>
      <c r="C17" s="1">
        <v>46294</v>
      </c>
      <c r="D17">
        <v>1</v>
      </c>
      <c r="E17">
        <v>2.5</v>
      </c>
      <c r="F17">
        <v>2.9</v>
      </c>
      <c r="G17">
        <v>0.1</v>
      </c>
      <c r="H17">
        <v>1</v>
      </c>
      <c r="I17">
        <f t="shared" si="1"/>
        <v>6959.9999999999991</v>
      </c>
      <c r="J17">
        <v>0</v>
      </c>
      <c r="K17">
        <v>1</v>
      </c>
      <c r="L17">
        <v>2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</row>
    <row r="18" spans="1:33" x14ac:dyDescent="0.2">
      <c r="A18" t="s">
        <v>49</v>
      </c>
      <c r="B18" s="1">
        <v>46280</v>
      </c>
      <c r="C18" s="1">
        <v>46294</v>
      </c>
      <c r="D18">
        <v>1</v>
      </c>
      <c r="E18">
        <v>2.5</v>
      </c>
      <c r="F18">
        <v>2.9</v>
      </c>
      <c r="G18">
        <v>0.1</v>
      </c>
      <c r="H18">
        <v>1</v>
      </c>
      <c r="I18">
        <f t="shared" si="1"/>
        <v>4142.8571428571422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33" x14ac:dyDescent="0.2">
      <c r="A19" t="s">
        <v>50</v>
      </c>
      <c r="B19" s="1">
        <v>46280</v>
      </c>
      <c r="C19" s="1">
        <v>46294</v>
      </c>
      <c r="D19">
        <v>1</v>
      </c>
      <c r="E19">
        <v>2.5</v>
      </c>
      <c r="F19">
        <v>2.9</v>
      </c>
      <c r="G19">
        <v>0.1</v>
      </c>
      <c r="H19">
        <v>1</v>
      </c>
      <c r="I19">
        <f t="shared" si="1"/>
        <v>5353.8461538461534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</row>
    <row r="20" spans="1:33" x14ac:dyDescent="0.2">
      <c r="A20" t="s">
        <v>51</v>
      </c>
      <c r="B20" s="1">
        <v>46280</v>
      </c>
      <c r="C20" s="1">
        <v>46294</v>
      </c>
      <c r="D20">
        <v>1</v>
      </c>
      <c r="E20">
        <v>2.5</v>
      </c>
      <c r="F20">
        <v>2.9</v>
      </c>
      <c r="G20">
        <v>0.1</v>
      </c>
      <c r="H20">
        <v>1</v>
      </c>
      <c r="I20">
        <f t="shared" si="1"/>
        <v>23199.999999999996</v>
      </c>
      <c r="J20">
        <v>0</v>
      </c>
      <c r="K20">
        <v>2</v>
      </c>
      <c r="L20">
        <v>1</v>
      </c>
      <c r="M20">
        <v>1</v>
      </c>
      <c r="N20">
        <v>1</v>
      </c>
      <c r="O20">
        <v>0</v>
      </c>
      <c r="P20">
        <v>3</v>
      </c>
      <c r="Q20">
        <v>2</v>
      </c>
      <c r="R20">
        <v>5</v>
      </c>
      <c r="S20">
        <v>2</v>
      </c>
      <c r="T20">
        <v>7</v>
      </c>
      <c r="U20">
        <v>0</v>
      </c>
    </row>
    <row r="21" spans="1:33" x14ac:dyDescent="0.2">
      <c r="A21" t="s">
        <v>52</v>
      </c>
      <c r="B21" s="1">
        <v>46280</v>
      </c>
      <c r="C21" s="1">
        <v>46294</v>
      </c>
      <c r="D21">
        <v>1</v>
      </c>
      <c r="E21">
        <v>2.5</v>
      </c>
      <c r="F21">
        <v>2.9</v>
      </c>
      <c r="G21">
        <v>0.1</v>
      </c>
      <c r="H21">
        <v>1</v>
      </c>
      <c r="I21">
        <f t="shared" si="1"/>
        <v>12492.307692307691</v>
      </c>
      <c r="J21">
        <v>1</v>
      </c>
      <c r="K21">
        <v>2</v>
      </c>
      <c r="L21">
        <v>3</v>
      </c>
      <c r="M21">
        <v>1</v>
      </c>
      <c r="N21">
        <v>0</v>
      </c>
      <c r="O21">
        <v>2</v>
      </c>
      <c r="P21">
        <v>0</v>
      </c>
      <c r="Q21">
        <v>1</v>
      </c>
      <c r="R21">
        <v>0</v>
      </c>
      <c r="S21">
        <v>1</v>
      </c>
      <c r="T21">
        <v>2</v>
      </c>
      <c r="U21">
        <v>1</v>
      </c>
      <c r="V21">
        <v>0</v>
      </c>
    </row>
    <row r="22" spans="1:33" x14ac:dyDescent="0.2">
      <c r="A22" t="s">
        <v>53</v>
      </c>
      <c r="B22" s="1">
        <v>46280</v>
      </c>
      <c r="C22" s="1">
        <v>46294</v>
      </c>
      <c r="D22">
        <v>1</v>
      </c>
      <c r="E22">
        <v>2.5</v>
      </c>
      <c r="F22">
        <v>2.9</v>
      </c>
      <c r="G22">
        <v>0.1</v>
      </c>
      <c r="H22">
        <v>1</v>
      </c>
      <c r="I22">
        <f t="shared" si="1"/>
        <v>1449.9999999999998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 t="s">
        <v>54</v>
      </c>
      <c r="B23" s="1">
        <v>46280</v>
      </c>
      <c r="C23" s="1">
        <v>46294</v>
      </c>
      <c r="D23">
        <v>1</v>
      </c>
      <c r="E23">
        <v>2.5</v>
      </c>
      <c r="F23">
        <v>2.9</v>
      </c>
      <c r="G23">
        <v>0.1</v>
      </c>
      <c r="H23">
        <v>1</v>
      </c>
      <c r="I23">
        <f t="shared" si="1"/>
        <v>3052.6315789473679</v>
      </c>
      <c r="J23">
        <v>0</v>
      </c>
      <c r="K23">
        <v>0</v>
      </c>
      <c r="L23">
        <v>1</v>
      </c>
      <c r="M23">
        <v>1</v>
      </c>
      <c r="N23">
        <v>0</v>
      </c>
      <c r="O23">
        <v>2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33" x14ac:dyDescent="0.2">
      <c r="A24" t="s">
        <v>55</v>
      </c>
      <c r="B24" s="1">
        <v>46280</v>
      </c>
      <c r="C24" s="1">
        <v>46294</v>
      </c>
      <c r="D24">
        <v>1</v>
      </c>
      <c r="E24">
        <v>2.5</v>
      </c>
      <c r="F24">
        <v>2.9</v>
      </c>
      <c r="G24">
        <v>0.1</v>
      </c>
      <c r="H24">
        <v>1</v>
      </c>
      <c r="I24">
        <f t="shared" si="1"/>
        <v>966.6666666666664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 t="s">
        <v>56</v>
      </c>
      <c r="B25" s="1">
        <v>46280</v>
      </c>
      <c r="C25" s="1">
        <v>46294</v>
      </c>
      <c r="D25">
        <v>1</v>
      </c>
      <c r="E25">
        <v>2.5</v>
      </c>
      <c r="F25">
        <v>2.9</v>
      </c>
      <c r="G25">
        <v>0.1</v>
      </c>
      <c r="H25">
        <v>1</v>
      </c>
      <c r="I25">
        <f t="shared" si="1"/>
        <v>3663.1578947368421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987022-e206-44f0-b9b6-3f4056d467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DC248AC83F842950962F41301E3EE" ma:contentTypeVersion="15" ma:contentTypeDescription="Create a new document." ma:contentTypeScope="" ma:versionID="1f9b479429e467ef15a02a07a6fb7ff8">
  <xsd:schema xmlns:xsd="http://www.w3.org/2001/XMLSchema" xmlns:xs="http://www.w3.org/2001/XMLSchema" xmlns:p="http://schemas.microsoft.com/office/2006/metadata/properties" xmlns:ns3="37987022-e206-44f0-b9b6-3f4056d46799" xmlns:ns4="045033bc-278a-4beb-ae8e-d28031ccb16c" targetNamespace="http://schemas.microsoft.com/office/2006/metadata/properties" ma:root="true" ma:fieldsID="67a1b13461431fe6aca8480bfedd0eda" ns3:_="" ns4:_="">
    <xsd:import namespace="37987022-e206-44f0-b9b6-3f4056d46799"/>
    <xsd:import namespace="045033bc-278a-4beb-ae8e-d28031ccb1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87022-e206-44f0-b9b6-3f4056d46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033bc-278a-4beb-ae8e-d28031ccb1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3F9356-081D-422D-9789-6E725335C6B4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045033bc-278a-4beb-ae8e-d28031ccb16c"/>
    <ds:schemaRef ds:uri="http://schemas.openxmlformats.org/package/2006/metadata/core-properties"/>
    <ds:schemaRef ds:uri="http://purl.org/dc/terms/"/>
    <ds:schemaRef ds:uri="37987022-e206-44f0-b9b6-3f4056d46799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6F510F-8031-4429-AA7F-722D2774F6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5D68FB-D597-47BA-AD64-1F8A3C4E5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987022-e206-44f0-b9b6-3f4056d46799"/>
    <ds:schemaRef ds:uri="045033bc-278a-4beb-ae8e-d28031ccb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ClD_forEff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2026-10-04T10:07:22Z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0x010100F2DDC248AC83F842950962F41301E3EE</vt:lpwstr>
  </property>
</Properties>
</file>